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chartsheets/sheet1.xml" ContentType="application/vnd.openxmlformats-officedocument.spreadsheetml.chartsheet+xml"/>
  <Override PartName="/xl/chartsheets/sheet2.xml" ContentType="application/vnd.openxmlformats-officedocument.spreadsheetml.chartsheet+xml"/>
  <Override PartName="/xl/chartsheets/sheet3.xml" ContentType="application/vnd.openxmlformats-officedocument.spreadsheetml.chartsheet+xml"/>
  <Override PartName="/xl/chartsheets/sheet4.xml" ContentType="application/vnd.openxmlformats-officedocument.spreadsheetml.chartsheet+xml"/>
  <Override PartName="/xl/chartsheets/sheet5.xml" ContentType="application/vnd.openxmlformats-officedocument.spreadsheetml.chartsheet+xml"/>
  <Override PartName="/xl/chartsheets/sheet6.xml" ContentType="application/vnd.openxmlformats-officedocument.spreadsheetml.chartsheet+xml"/>
  <Override PartName="/xl/chartsheets/sheet7.xml" ContentType="application/vnd.openxmlformats-officedocument.spreadsheetml.chartsheet+xml"/>
  <Override PartName="/xl/chartsheets/sheet8.xml" ContentType="application/vnd.openxmlformats-officedocument.spreadsheetml.chartsheet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ml.chartshapes+xml"/>
  <Override PartName="/xl/drawings/drawing3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4.xml" ContentType="application/vnd.openxmlformats-officedocument.drawingml.chartshapes+xml"/>
  <Override PartName="/xl/drawings/drawing5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6.xml" ContentType="application/vnd.openxmlformats-officedocument.drawingml.chartshapes+xml"/>
  <Override PartName="/xl/drawings/drawing7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8.xml" ContentType="application/vnd.openxmlformats-officedocument.drawingml.chartshapes+xml"/>
  <Override PartName="/xl/drawings/drawing9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10.xml" ContentType="application/vnd.openxmlformats-officedocument.drawingml.chartshapes+xml"/>
  <Override PartName="/xl/drawings/drawing11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12.xml" ContentType="application/vnd.openxmlformats-officedocument.drawingml.chartshapes+xml"/>
  <Override PartName="/xl/drawings/drawing13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14.xml" ContentType="application/vnd.openxmlformats-officedocument.drawing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Users\hp\OneDrive - Eotvos Lorand Tudomanyegyetem\egyetem\Kutmod\kutmod\test\"/>
    </mc:Choice>
  </mc:AlternateContent>
  <xr:revisionPtr revIDLastSave="0" documentId="13_ncr:1_{A3387043-E1F6-44B9-BC65-B61B2B1F50CE}" xr6:coauthVersionLast="47" xr6:coauthVersionMax="47" xr10:uidLastSave="{00000000-0000-0000-0000-000000000000}"/>
  <bookViews>
    <workbookView xWindow="-108" yWindow="-108" windowWidth="23256" windowHeight="12576" firstSheet="2" activeTab="7" xr2:uid="{9A0E6D49-351C-40D8-8A63-05B3AF49A63E}"/>
  </bookViews>
  <sheets>
    <sheet name="allBugCount" sheetId="2" r:id="rId1"/>
    <sheet name="1 bug" sheetId="6" r:id="rId2"/>
    <sheet name="2 bug" sheetId="4" r:id="rId3"/>
    <sheet name="3 bug" sheetId="5" r:id="rId4"/>
    <sheet name="4 bug" sheetId="3" r:id="rId5"/>
    <sheet name="5 bug" sheetId="7" r:id="rId6"/>
    <sheet name="Átlagos patch accuracy bugcount" sheetId="8" r:id="rId7"/>
    <sheet name="avg new bugs" sheetId="9" r:id="rId8"/>
    <sheet name="tests" sheetId="1" r:id="rId9"/>
  </sheets>
  <definedNames>
    <definedName name="_xlnm._FilterDatabase" localSheetId="8" hidden="1">tests!$A$1:$G$221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2" i="1" l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205" i="1"/>
  <c r="H206" i="1"/>
  <c r="H207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" i="1"/>
  <c r="O11" i="1"/>
  <c r="P11" i="1"/>
  <c r="Q11" i="1"/>
  <c r="R11" i="1"/>
  <c r="N11" i="1"/>
  <c r="O3" i="1"/>
  <c r="P3" i="1"/>
  <c r="Q3" i="1"/>
  <c r="R3" i="1"/>
  <c r="O4" i="1"/>
  <c r="P4" i="1"/>
  <c r="Q4" i="1"/>
  <c r="R4" i="1"/>
  <c r="O5" i="1"/>
  <c r="P5" i="1"/>
  <c r="Q5" i="1"/>
  <c r="R5" i="1"/>
  <c r="O6" i="1"/>
  <c r="P6" i="1"/>
  <c r="Q6" i="1"/>
  <c r="R6" i="1"/>
  <c r="O7" i="1"/>
  <c r="P7" i="1"/>
  <c r="Q7" i="1"/>
  <c r="R7" i="1"/>
  <c r="N4" i="1"/>
  <c r="N5" i="1"/>
  <c r="N6" i="1"/>
  <c r="N7" i="1"/>
  <c r="N3" i="1"/>
</calcChain>
</file>

<file path=xl/sharedStrings.xml><?xml version="1.0" encoding="utf-8"?>
<sst xmlns="http://schemas.openxmlformats.org/spreadsheetml/2006/main" count="248" uniqueCount="22">
  <si>
    <t>introducing new bugs</t>
  </si>
  <si>
    <t>thinking time</t>
  </si>
  <si>
    <t>ChatGPT</t>
  </si>
  <si>
    <t>Claude-3.5-Sonnet</t>
  </si>
  <si>
    <t>Copilot</t>
  </si>
  <si>
    <t>Gemini-1.5-Pro</t>
  </si>
  <si>
    <t>DeepSeek-Large</t>
  </si>
  <si>
    <t>Test number</t>
  </si>
  <si>
    <t>bugcount</t>
  </si>
  <si>
    <t>llm name</t>
  </si>
  <si>
    <t>patch accuracy</t>
  </si>
  <si>
    <t>Átlagos patch accuracy bug countonként</t>
  </si>
  <si>
    <t>piros</t>
  </si>
  <si>
    <t>zöld</t>
  </si>
  <si>
    <t>kék</t>
  </si>
  <si>
    <t>sárga</t>
  </si>
  <si>
    <t xml:space="preserve"> "ChatGPT", RGB(255, 0, 0) ' Red</t>
  </si>
  <si>
    <t>"Claude-3.5-Sonnet", RGB(0, 255, 0) ' Green</t>
  </si>
  <si>
    <t xml:space="preserve"> "Copilot", RGB(0, 0, 255)</t>
  </si>
  <si>
    <t xml:space="preserve"> "DeepSeek-Large", RGB(255, 255, 0)</t>
  </si>
  <si>
    <t>"Gemini-1.5-Pro", RGB(0, 255, 255)</t>
  </si>
  <si>
    <t>világos kék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</si>
</sst>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">
    <xf numFmtId="0" fontId="0" fillId="0" borderId="0" xfId="0"/>
  </cellXfs>
  <cellStyles count="42">
    <cellStyle name="20% - 1. jelölőszín" xfId="19" builtinId="30" customBuiltin="1"/>
    <cellStyle name="20% - 2. jelölőszín" xfId="23" builtinId="34" customBuiltin="1"/>
    <cellStyle name="20% - 3. jelölőszín" xfId="27" builtinId="38" customBuiltin="1"/>
    <cellStyle name="20% - 4. jelölőszín" xfId="31" builtinId="42" customBuiltin="1"/>
    <cellStyle name="20% - 5. jelölőszín" xfId="35" builtinId="46" customBuiltin="1"/>
    <cellStyle name="20% - 6. jelölőszín" xfId="39" builtinId="50" customBuiltin="1"/>
    <cellStyle name="40% - 1. jelölőszín" xfId="20" builtinId="31" customBuiltin="1"/>
    <cellStyle name="40% - 2. jelölőszín" xfId="24" builtinId="35" customBuiltin="1"/>
    <cellStyle name="40% - 3. jelölőszín" xfId="28" builtinId="39" customBuiltin="1"/>
    <cellStyle name="40% - 4. jelölőszín" xfId="32" builtinId="43" customBuiltin="1"/>
    <cellStyle name="40% - 5. jelölőszín" xfId="36" builtinId="47" customBuiltin="1"/>
    <cellStyle name="40% - 6. jelölőszín" xfId="40" builtinId="51" customBuiltin="1"/>
    <cellStyle name="60% - 1. jelölőszín" xfId="21" builtinId="32" customBuiltin="1"/>
    <cellStyle name="60% - 2. jelölőszín" xfId="25" builtinId="36" customBuiltin="1"/>
    <cellStyle name="60% - 3. jelölőszín" xfId="29" builtinId="40" customBuiltin="1"/>
    <cellStyle name="60% - 4. jelölőszín" xfId="33" builtinId="44" customBuiltin="1"/>
    <cellStyle name="60% - 5. jelölőszín" xfId="37" builtinId="48" customBuiltin="1"/>
    <cellStyle name="60% - 6. jelölőszín" xfId="41" builtinId="52" customBuiltin="1"/>
    <cellStyle name="Bevitel" xfId="9" builtinId="20" customBuiltin="1"/>
    <cellStyle name="Cím" xfId="1" builtinId="15" customBuiltin="1"/>
    <cellStyle name="Címsor 1" xfId="2" builtinId="16" customBuiltin="1"/>
    <cellStyle name="Címsor 2" xfId="3" builtinId="17" customBuiltin="1"/>
    <cellStyle name="Címsor 3" xfId="4" builtinId="18" customBuiltin="1"/>
    <cellStyle name="Címsor 4" xfId="5" builtinId="19" customBuiltin="1"/>
    <cellStyle name="Ellenőrzőcella" xfId="13" builtinId="23" customBuiltin="1"/>
    <cellStyle name="Figyelmeztetés" xfId="14" builtinId="11" customBuiltin="1"/>
    <cellStyle name="Hivatkozott cella" xfId="12" builtinId="24" customBuiltin="1"/>
    <cellStyle name="Jegyzet" xfId="15" builtinId="10" customBuiltin="1"/>
    <cellStyle name="Jelölőszín 1" xfId="18" builtinId="29" customBuiltin="1"/>
    <cellStyle name="Jelölőszín 2" xfId="22" builtinId="33" customBuiltin="1"/>
    <cellStyle name="Jelölőszín 3" xfId="26" builtinId="37" customBuiltin="1"/>
    <cellStyle name="Jelölőszín 4" xfId="30" builtinId="41" customBuiltin="1"/>
    <cellStyle name="Jelölőszín 5" xfId="34" builtinId="45" customBuiltin="1"/>
    <cellStyle name="Jelölőszín 6" xfId="38" builtinId="49" customBuiltin="1"/>
    <cellStyle name="Jó" xfId="6" builtinId="26" customBuiltin="1"/>
    <cellStyle name="Kimenet" xfId="10" builtinId="21" customBuiltin="1"/>
    <cellStyle name="Magyarázó szöveg" xfId="16" builtinId="53" customBuiltin="1"/>
    <cellStyle name="Normál" xfId="0" builtinId="0"/>
    <cellStyle name="Összesen" xfId="17" builtinId="25" customBuiltin="1"/>
    <cellStyle name="Rossz" xfId="7" builtinId="27" customBuiltin="1"/>
    <cellStyle name="Semleges" xfId="8" builtinId="28" customBuiltin="1"/>
    <cellStyle name="Számítás" xfId="11" builtinId="22" customBuiltin="1"/>
  </cellStyles>
  <dxfs count="0"/>
  <tableStyles count="0" defaultTableStyle="TableStyleMedium2" defaultPivotStyle="PivotStyleLight16"/>
  <colors>
    <mruColors>
      <color rgb="FF00FFFF"/>
      <color rgb="FF00FF00"/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hartsheet" Target="chartsheets/sheet8.xml"/><Relationship Id="rId13" Type="http://schemas.openxmlformats.org/officeDocument/2006/relationships/calcChain" Target="calcChain.xml"/><Relationship Id="rId3" Type="http://schemas.openxmlformats.org/officeDocument/2006/relationships/chartsheet" Target="chartsheets/sheet3.xml"/><Relationship Id="rId7" Type="http://schemas.openxmlformats.org/officeDocument/2006/relationships/chartsheet" Target="chartsheets/sheet7.xml"/><Relationship Id="rId12" Type="http://schemas.openxmlformats.org/officeDocument/2006/relationships/sharedStrings" Target="sharedStrings.xml"/><Relationship Id="rId2" Type="http://schemas.openxmlformats.org/officeDocument/2006/relationships/chartsheet" Target="chartsheets/sheet2.xml"/><Relationship Id="rId1" Type="http://schemas.openxmlformats.org/officeDocument/2006/relationships/chartsheet" Target="chartsheets/sheet1.xml"/><Relationship Id="rId6" Type="http://schemas.openxmlformats.org/officeDocument/2006/relationships/chartsheet" Target="chartsheets/sheet6.xml"/><Relationship Id="rId11" Type="http://schemas.openxmlformats.org/officeDocument/2006/relationships/styles" Target="styles.xml"/><Relationship Id="rId5" Type="http://schemas.openxmlformats.org/officeDocument/2006/relationships/chartsheet" Target="chartsheets/sheet5.xml"/><Relationship Id="rId10" Type="http://schemas.openxmlformats.org/officeDocument/2006/relationships/theme" Target="theme/theme1.xml"/><Relationship Id="rId4" Type="http://schemas.openxmlformats.org/officeDocument/2006/relationships/chartsheet" Target="chartsheets/sheet4.xml"/><Relationship Id="rId9" Type="http://schemas.openxmlformats.org/officeDocument/2006/relationships/worksheet" Target="worksheets/sheet1.xml"/></Relationships>
</file>

<file path=xl/charts/_rels/chart1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2.xml"/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4.xml"/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6.xml"/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8.xml"/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10.xml"/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12.xml"/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hu-H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hu-HU"/>
              <a:t>All bugs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hu-HU"/>
        </a:p>
      </c:txPr>
    </c:title>
    <c:autoTitleDeleted val="0"/>
    <c:plotArea>
      <c:layout>
        <c:manualLayout>
          <c:layoutTarget val="inner"/>
          <c:xMode val="edge"/>
          <c:yMode val="edge"/>
          <c:x val="5.0564726418376692E-2"/>
          <c:y val="7.7644126321230744E-2"/>
          <c:w val="0.93129605559986084"/>
          <c:h val="0.75384921469558697"/>
        </c:manualLayout>
      </c:layout>
      <c:scatterChart>
        <c:scatterStyle val="lineMarker"/>
        <c:varyColors val="0"/>
        <c:ser>
          <c:idx val="0"/>
          <c:order val="0"/>
          <c:tx>
            <c:strRef>
              <c:f>tests!$E$1</c:f>
              <c:strCache>
                <c:ptCount val="1"/>
                <c:pt idx="0">
                  <c:v>patch accuracy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rgbClr val="FF0000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0-45A9-4C64-A0DB-4944082DB516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rgbClr val="FF0000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45A9-4C64-A0DB-4944082DB516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rgbClr val="FF0000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2-45A9-4C64-A0DB-4944082DB516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rgbClr val="FF0000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3-45A9-4C64-A0DB-4944082DB516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rgbClr val="FF0000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4-45A9-4C64-A0DB-4944082DB516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rgbClr val="FF0000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5-45A9-4C64-A0DB-4944082DB516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rgbClr val="00FF00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6-45A9-4C64-A0DB-4944082DB516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rgbClr val="00FF00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7-45A9-4C64-A0DB-4944082DB516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rgbClr val="00FF00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8-45A9-4C64-A0DB-4944082DB516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rgbClr val="00FF00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9-45A9-4C64-A0DB-4944082DB516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rgbClr val="00FF00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A-45A9-4C64-A0DB-4944082DB516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rgbClr val="00FF00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B-45A9-4C64-A0DB-4944082DB516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rgbClr val="0000FF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C-45A9-4C64-A0DB-4944082DB516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rgbClr val="0000FF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D-45A9-4C64-A0DB-4944082DB516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rgbClr val="0000FF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E-45A9-4C64-A0DB-4944082DB516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rgbClr val="0000FF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F-45A9-4C64-A0DB-4944082DB516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rgbClr val="0000FF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10-45A9-4C64-A0DB-4944082DB516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rgbClr val="0000FF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11-45A9-4C64-A0DB-4944082DB516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rgbClr val="FFFF00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12-45A9-4C64-A0DB-4944082DB516}"/>
              </c:ext>
            </c:extLst>
          </c:dPt>
          <c:dPt>
            <c:idx val="19"/>
            <c:marker>
              <c:symbol val="circle"/>
              <c:size val="5"/>
              <c:spPr>
                <a:solidFill>
                  <a:srgbClr val="FFFF00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13-45A9-4C64-A0DB-4944082DB516}"/>
              </c:ext>
            </c:extLst>
          </c:dPt>
          <c:dPt>
            <c:idx val="20"/>
            <c:marker>
              <c:symbol val="circle"/>
              <c:size val="5"/>
              <c:spPr>
                <a:solidFill>
                  <a:srgbClr val="FFFF00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14-45A9-4C64-A0DB-4944082DB516}"/>
              </c:ext>
            </c:extLst>
          </c:dPt>
          <c:dPt>
            <c:idx val="21"/>
            <c:marker>
              <c:symbol val="circle"/>
              <c:size val="5"/>
              <c:spPr>
                <a:solidFill>
                  <a:srgbClr val="FFFF00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15-45A9-4C64-A0DB-4944082DB516}"/>
              </c:ext>
            </c:extLst>
          </c:dPt>
          <c:dPt>
            <c:idx val="22"/>
            <c:marker>
              <c:symbol val="circle"/>
              <c:size val="5"/>
              <c:spPr>
                <a:solidFill>
                  <a:srgbClr val="FFFF00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16-45A9-4C64-A0DB-4944082DB516}"/>
              </c:ext>
            </c:extLst>
          </c:dPt>
          <c:dPt>
            <c:idx val="23"/>
            <c:marker>
              <c:symbol val="circle"/>
              <c:size val="5"/>
              <c:spPr>
                <a:solidFill>
                  <a:srgbClr val="FFFF00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17-45A9-4C64-A0DB-4944082DB516}"/>
              </c:ext>
            </c:extLst>
          </c:dPt>
          <c:dPt>
            <c:idx val="24"/>
            <c:marker>
              <c:symbol val="circle"/>
              <c:size val="5"/>
              <c:spPr>
                <a:solidFill>
                  <a:srgbClr val="00FFFF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18-45A9-4C64-A0DB-4944082DB516}"/>
              </c:ext>
            </c:extLst>
          </c:dPt>
          <c:dPt>
            <c:idx val="25"/>
            <c:marker>
              <c:symbol val="circle"/>
              <c:size val="5"/>
              <c:spPr>
                <a:solidFill>
                  <a:srgbClr val="00FFFF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19-45A9-4C64-A0DB-4944082DB516}"/>
              </c:ext>
            </c:extLst>
          </c:dPt>
          <c:dPt>
            <c:idx val="26"/>
            <c:marker>
              <c:symbol val="circle"/>
              <c:size val="5"/>
              <c:spPr>
                <a:solidFill>
                  <a:srgbClr val="00FFFF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1A-45A9-4C64-A0DB-4944082DB516}"/>
              </c:ext>
            </c:extLst>
          </c:dPt>
          <c:dPt>
            <c:idx val="27"/>
            <c:marker>
              <c:symbol val="circle"/>
              <c:size val="5"/>
              <c:spPr>
                <a:solidFill>
                  <a:srgbClr val="00FFFF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1B-45A9-4C64-A0DB-4944082DB516}"/>
              </c:ext>
            </c:extLst>
          </c:dPt>
          <c:dPt>
            <c:idx val="28"/>
            <c:marker>
              <c:symbol val="circle"/>
              <c:size val="5"/>
              <c:spPr>
                <a:solidFill>
                  <a:srgbClr val="00FFFF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1C-45A9-4C64-A0DB-4944082DB516}"/>
              </c:ext>
            </c:extLst>
          </c:dPt>
          <c:dPt>
            <c:idx val="29"/>
            <c:marker>
              <c:symbol val="circle"/>
              <c:size val="5"/>
              <c:spPr>
                <a:solidFill>
                  <a:srgbClr val="00FFFF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1D-45A9-4C64-A0DB-4944082DB516}"/>
              </c:ext>
            </c:extLst>
          </c:dPt>
          <c:dPt>
            <c:idx val="30"/>
            <c:marker>
              <c:symbol val="circle"/>
              <c:size val="5"/>
              <c:spPr>
                <a:solidFill>
                  <a:srgbClr val="FF0000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1E-45A9-4C64-A0DB-4944082DB516}"/>
              </c:ext>
            </c:extLst>
          </c:dPt>
          <c:dPt>
            <c:idx val="31"/>
            <c:marker>
              <c:symbol val="circle"/>
              <c:size val="5"/>
              <c:spPr>
                <a:solidFill>
                  <a:srgbClr val="FF0000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1F-45A9-4C64-A0DB-4944082DB516}"/>
              </c:ext>
            </c:extLst>
          </c:dPt>
          <c:dPt>
            <c:idx val="32"/>
            <c:marker>
              <c:symbol val="circle"/>
              <c:size val="5"/>
              <c:spPr>
                <a:solidFill>
                  <a:srgbClr val="FF0000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0-45A9-4C64-A0DB-4944082DB516}"/>
              </c:ext>
            </c:extLst>
          </c:dPt>
          <c:dPt>
            <c:idx val="33"/>
            <c:marker>
              <c:symbol val="circle"/>
              <c:size val="5"/>
              <c:spPr>
                <a:solidFill>
                  <a:srgbClr val="FF0000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1-45A9-4C64-A0DB-4944082DB516}"/>
              </c:ext>
            </c:extLst>
          </c:dPt>
          <c:dPt>
            <c:idx val="34"/>
            <c:marker>
              <c:symbol val="circle"/>
              <c:size val="5"/>
              <c:spPr>
                <a:solidFill>
                  <a:srgbClr val="FF0000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2-45A9-4C64-A0DB-4944082DB516}"/>
              </c:ext>
            </c:extLst>
          </c:dPt>
          <c:dPt>
            <c:idx val="35"/>
            <c:marker>
              <c:symbol val="circle"/>
              <c:size val="5"/>
              <c:spPr>
                <a:solidFill>
                  <a:srgbClr val="FF0000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3-45A9-4C64-A0DB-4944082DB516}"/>
              </c:ext>
            </c:extLst>
          </c:dPt>
          <c:dPt>
            <c:idx val="36"/>
            <c:marker>
              <c:symbol val="circle"/>
              <c:size val="5"/>
              <c:spPr>
                <a:solidFill>
                  <a:srgbClr val="FF0000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4-45A9-4C64-A0DB-4944082DB516}"/>
              </c:ext>
            </c:extLst>
          </c:dPt>
          <c:dPt>
            <c:idx val="37"/>
            <c:marker>
              <c:symbol val="circle"/>
              <c:size val="5"/>
              <c:spPr>
                <a:solidFill>
                  <a:srgbClr val="FF0000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5-45A9-4C64-A0DB-4944082DB516}"/>
              </c:ext>
            </c:extLst>
          </c:dPt>
          <c:dPt>
            <c:idx val="38"/>
            <c:marker>
              <c:symbol val="circle"/>
              <c:size val="5"/>
              <c:spPr>
                <a:solidFill>
                  <a:srgbClr val="FF0000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45A9-4C64-A0DB-4944082DB516}"/>
              </c:ext>
            </c:extLst>
          </c:dPt>
          <c:dPt>
            <c:idx val="39"/>
            <c:marker>
              <c:symbol val="circle"/>
              <c:size val="5"/>
              <c:spPr>
                <a:solidFill>
                  <a:srgbClr val="FF0000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45A9-4C64-A0DB-4944082DB516}"/>
              </c:ext>
            </c:extLst>
          </c:dPt>
          <c:dPt>
            <c:idx val="40"/>
            <c:marker>
              <c:symbol val="circle"/>
              <c:size val="5"/>
              <c:spPr>
                <a:solidFill>
                  <a:srgbClr val="FF0000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45A9-4C64-A0DB-4944082DB516}"/>
              </c:ext>
            </c:extLst>
          </c:dPt>
          <c:dPt>
            <c:idx val="41"/>
            <c:marker>
              <c:symbol val="circle"/>
              <c:size val="5"/>
              <c:spPr>
                <a:solidFill>
                  <a:srgbClr val="00FF00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45A9-4C64-A0DB-4944082DB516}"/>
              </c:ext>
            </c:extLst>
          </c:dPt>
          <c:dPt>
            <c:idx val="42"/>
            <c:marker>
              <c:symbol val="circle"/>
              <c:size val="5"/>
              <c:spPr>
                <a:solidFill>
                  <a:srgbClr val="00FF00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45A9-4C64-A0DB-4944082DB516}"/>
              </c:ext>
            </c:extLst>
          </c:dPt>
          <c:dPt>
            <c:idx val="43"/>
            <c:marker>
              <c:symbol val="circle"/>
              <c:size val="5"/>
              <c:spPr>
                <a:solidFill>
                  <a:srgbClr val="00FF00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45A9-4C64-A0DB-4944082DB516}"/>
              </c:ext>
            </c:extLst>
          </c:dPt>
          <c:dPt>
            <c:idx val="44"/>
            <c:marker>
              <c:symbol val="circle"/>
              <c:size val="5"/>
              <c:spPr>
                <a:solidFill>
                  <a:srgbClr val="00FF00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45A9-4C64-A0DB-4944082DB516}"/>
              </c:ext>
            </c:extLst>
          </c:dPt>
          <c:dPt>
            <c:idx val="45"/>
            <c:marker>
              <c:symbol val="circle"/>
              <c:size val="5"/>
              <c:spPr>
                <a:solidFill>
                  <a:srgbClr val="00FF00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45A9-4C64-A0DB-4944082DB516}"/>
              </c:ext>
            </c:extLst>
          </c:dPt>
          <c:dPt>
            <c:idx val="46"/>
            <c:marker>
              <c:symbol val="circle"/>
              <c:size val="5"/>
              <c:spPr>
                <a:solidFill>
                  <a:srgbClr val="00FF00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45A9-4C64-A0DB-4944082DB516}"/>
              </c:ext>
            </c:extLst>
          </c:dPt>
          <c:dPt>
            <c:idx val="47"/>
            <c:marker>
              <c:symbol val="circle"/>
              <c:size val="5"/>
              <c:spPr>
                <a:solidFill>
                  <a:srgbClr val="00FF00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45A9-4C64-A0DB-4944082DB516}"/>
              </c:ext>
            </c:extLst>
          </c:dPt>
          <c:dPt>
            <c:idx val="48"/>
            <c:marker>
              <c:symbol val="circle"/>
              <c:size val="5"/>
              <c:spPr>
                <a:solidFill>
                  <a:srgbClr val="00FF00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45A9-4C64-A0DB-4944082DB516}"/>
              </c:ext>
            </c:extLst>
          </c:dPt>
          <c:dPt>
            <c:idx val="49"/>
            <c:marker>
              <c:symbol val="circle"/>
              <c:size val="5"/>
              <c:spPr>
                <a:solidFill>
                  <a:srgbClr val="00FF00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45A9-4C64-A0DB-4944082DB516}"/>
              </c:ext>
            </c:extLst>
          </c:dPt>
          <c:dPt>
            <c:idx val="50"/>
            <c:marker>
              <c:symbol val="circle"/>
              <c:size val="5"/>
              <c:spPr>
                <a:solidFill>
                  <a:srgbClr val="00FF00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45A9-4C64-A0DB-4944082DB516}"/>
              </c:ext>
            </c:extLst>
          </c:dPt>
          <c:dPt>
            <c:idx val="51"/>
            <c:marker>
              <c:symbol val="circle"/>
              <c:size val="5"/>
              <c:spPr>
                <a:solidFill>
                  <a:srgbClr val="00FF00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45A9-4C64-A0DB-4944082DB516}"/>
              </c:ext>
            </c:extLst>
          </c:dPt>
          <c:dPt>
            <c:idx val="52"/>
            <c:marker>
              <c:symbol val="circle"/>
              <c:size val="5"/>
              <c:spPr>
                <a:solidFill>
                  <a:srgbClr val="0000FF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45A9-4C64-A0DB-4944082DB516}"/>
              </c:ext>
            </c:extLst>
          </c:dPt>
          <c:dPt>
            <c:idx val="53"/>
            <c:marker>
              <c:symbol val="circle"/>
              <c:size val="5"/>
              <c:spPr>
                <a:solidFill>
                  <a:srgbClr val="0000FF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45A9-4C64-A0DB-4944082DB516}"/>
              </c:ext>
            </c:extLst>
          </c:dPt>
          <c:dPt>
            <c:idx val="54"/>
            <c:marker>
              <c:symbol val="circle"/>
              <c:size val="5"/>
              <c:spPr>
                <a:solidFill>
                  <a:srgbClr val="0000FF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45A9-4C64-A0DB-4944082DB516}"/>
              </c:ext>
            </c:extLst>
          </c:dPt>
          <c:dPt>
            <c:idx val="55"/>
            <c:marker>
              <c:symbol val="circle"/>
              <c:size val="5"/>
              <c:spPr>
                <a:solidFill>
                  <a:srgbClr val="0000FF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45A9-4C64-A0DB-4944082DB516}"/>
              </c:ext>
            </c:extLst>
          </c:dPt>
          <c:dPt>
            <c:idx val="56"/>
            <c:marker>
              <c:symbol val="circle"/>
              <c:size val="5"/>
              <c:spPr>
                <a:solidFill>
                  <a:srgbClr val="0000FF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8-45A9-4C64-A0DB-4944082DB516}"/>
              </c:ext>
            </c:extLst>
          </c:dPt>
          <c:dPt>
            <c:idx val="57"/>
            <c:marker>
              <c:symbol val="circle"/>
              <c:size val="5"/>
              <c:spPr>
                <a:solidFill>
                  <a:srgbClr val="0000FF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9-45A9-4C64-A0DB-4944082DB516}"/>
              </c:ext>
            </c:extLst>
          </c:dPt>
          <c:dPt>
            <c:idx val="58"/>
            <c:marker>
              <c:symbol val="circle"/>
              <c:size val="5"/>
              <c:spPr>
                <a:solidFill>
                  <a:srgbClr val="0000FF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A-45A9-4C64-A0DB-4944082DB516}"/>
              </c:ext>
            </c:extLst>
          </c:dPt>
          <c:dPt>
            <c:idx val="59"/>
            <c:marker>
              <c:symbol val="circle"/>
              <c:size val="5"/>
              <c:spPr>
                <a:solidFill>
                  <a:srgbClr val="0000FF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B-45A9-4C64-A0DB-4944082DB516}"/>
              </c:ext>
            </c:extLst>
          </c:dPt>
          <c:dPt>
            <c:idx val="60"/>
            <c:marker>
              <c:symbol val="circle"/>
              <c:size val="5"/>
              <c:spPr>
                <a:solidFill>
                  <a:srgbClr val="0000FF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C-45A9-4C64-A0DB-4944082DB516}"/>
              </c:ext>
            </c:extLst>
          </c:dPt>
          <c:dPt>
            <c:idx val="61"/>
            <c:marker>
              <c:symbol val="circle"/>
              <c:size val="5"/>
              <c:spPr>
                <a:solidFill>
                  <a:srgbClr val="0000FF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D-45A9-4C64-A0DB-4944082DB516}"/>
              </c:ext>
            </c:extLst>
          </c:dPt>
          <c:dPt>
            <c:idx val="62"/>
            <c:marker>
              <c:symbol val="circle"/>
              <c:size val="5"/>
              <c:spPr>
                <a:solidFill>
                  <a:srgbClr val="0000FF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E-45A9-4C64-A0DB-4944082DB516}"/>
              </c:ext>
            </c:extLst>
          </c:dPt>
          <c:dPt>
            <c:idx val="63"/>
            <c:marker>
              <c:symbol val="circle"/>
              <c:size val="5"/>
              <c:spPr>
                <a:solidFill>
                  <a:srgbClr val="FFFF00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F-45A9-4C64-A0DB-4944082DB516}"/>
              </c:ext>
            </c:extLst>
          </c:dPt>
          <c:dPt>
            <c:idx val="64"/>
            <c:marker>
              <c:symbol val="circle"/>
              <c:size val="5"/>
              <c:spPr>
                <a:solidFill>
                  <a:srgbClr val="FFFF00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40-45A9-4C64-A0DB-4944082DB516}"/>
              </c:ext>
            </c:extLst>
          </c:dPt>
          <c:dPt>
            <c:idx val="65"/>
            <c:marker>
              <c:symbol val="circle"/>
              <c:size val="5"/>
              <c:spPr>
                <a:solidFill>
                  <a:srgbClr val="FFFF00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41-45A9-4C64-A0DB-4944082DB516}"/>
              </c:ext>
            </c:extLst>
          </c:dPt>
          <c:dPt>
            <c:idx val="66"/>
            <c:marker>
              <c:symbol val="circle"/>
              <c:size val="5"/>
              <c:spPr>
                <a:solidFill>
                  <a:srgbClr val="FFFF00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42-45A9-4C64-A0DB-4944082DB516}"/>
              </c:ext>
            </c:extLst>
          </c:dPt>
          <c:dPt>
            <c:idx val="67"/>
            <c:marker>
              <c:symbol val="circle"/>
              <c:size val="5"/>
              <c:spPr>
                <a:solidFill>
                  <a:srgbClr val="FFFF00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43-45A9-4C64-A0DB-4944082DB516}"/>
              </c:ext>
            </c:extLst>
          </c:dPt>
          <c:dPt>
            <c:idx val="68"/>
            <c:marker>
              <c:symbol val="circle"/>
              <c:size val="5"/>
              <c:spPr>
                <a:solidFill>
                  <a:srgbClr val="FFFF00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44-45A9-4C64-A0DB-4944082DB516}"/>
              </c:ext>
            </c:extLst>
          </c:dPt>
          <c:dPt>
            <c:idx val="69"/>
            <c:marker>
              <c:symbol val="circle"/>
              <c:size val="5"/>
              <c:spPr>
                <a:solidFill>
                  <a:srgbClr val="FFFF00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45-45A9-4C64-A0DB-4944082DB516}"/>
              </c:ext>
            </c:extLst>
          </c:dPt>
          <c:dPt>
            <c:idx val="70"/>
            <c:marker>
              <c:symbol val="circle"/>
              <c:size val="5"/>
              <c:spPr>
                <a:solidFill>
                  <a:srgbClr val="FFFF00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46-45A9-4C64-A0DB-4944082DB516}"/>
              </c:ext>
            </c:extLst>
          </c:dPt>
          <c:dPt>
            <c:idx val="71"/>
            <c:marker>
              <c:symbol val="circle"/>
              <c:size val="5"/>
              <c:spPr>
                <a:solidFill>
                  <a:srgbClr val="FFFF00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47-45A9-4C64-A0DB-4944082DB516}"/>
              </c:ext>
            </c:extLst>
          </c:dPt>
          <c:dPt>
            <c:idx val="72"/>
            <c:marker>
              <c:symbol val="circle"/>
              <c:size val="5"/>
              <c:spPr>
                <a:solidFill>
                  <a:srgbClr val="FFFF00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48-45A9-4C64-A0DB-4944082DB516}"/>
              </c:ext>
            </c:extLst>
          </c:dPt>
          <c:dPt>
            <c:idx val="73"/>
            <c:marker>
              <c:symbol val="circle"/>
              <c:size val="5"/>
              <c:spPr>
                <a:solidFill>
                  <a:srgbClr val="FFFF00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49-45A9-4C64-A0DB-4944082DB516}"/>
              </c:ext>
            </c:extLst>
          </c:dPt>
          <c:dPt>
            <c:idx val="74"/>
            <c:marker>
              <c:symbol val="circle"/>
              <c:size val="5"/>
              <c:spPr>
                <a:solidFill>
                  <a:srgbClr val="00FFFF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4A-45A9-4C64-A0DB-4944082DB516}"/>
              </c:ext>
            </c:extLst>
          </c:dPt>
          <c:dPt>
            <c:idx val="75"/>
            <c:marker>
              <c:symbol val="circle"/>
              <c:size val="5"/>
              <c:spPr>
                <a:solidFill>
                  <a:srgbClr val="00FFFF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4B-45A9-4C64-A0DB-4944082DB516}"/>
              </c:ext>
            </c:extLst>
          </c:dPt>
          <c:dPt>
            <c:idx val="76"/>
            <c:marker>
              <c:symbol val="circle"/>
              <c:size val="5"/>
              <c:spPr>
                <a:solidFill>
                  <a:srgbClr val="00FFFF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4C-45A9-4C64-A0DB-4944082DB516}"/>
              </c:ext>
            </c:extLst>
          </c:dPt>
          <c:dPt>
            <c:idx val="77"/>
            <c:marker>
              <c:symbol val="circle"/>
              <c:size val="5"/>
              <c:spPr>
                <a:solidFill>
                  <a:srgbClr val="00FFFF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4D-45A9-4C64-A0DB-4944082DB516}"/>
              </c:ext>
            </c:extLst>
          </c:dPt>
          <c:dPt>
            <c:idx val="78"/>
            <c:marker>
              <c:symbol val="circle"/>
              <c:size val="5"/>
              <c:spPr>
                <a:solidFill>
                  <a:srgbClr val="00FFFF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4E-45A9-4C64-A0DB-4944082DB516}"/>
              </c:ext>
            </c:extLst>
          </c:dPt>
          <c:dPt>
            <c:idx val="79"/>
            <c:marker>
              <c:symbol val="circle"/>
              <c:size val="5"/>
              <c:spPr>
                <a:solidFill>
                  <a:srgbClr val="00FFFF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4F-45A9-4C64-A0DB-4944082DB516}"/>
              </c:ext>
            </c:extLst>
          </c:dPt>
          <c:dPt>
            <c:idx val="80"/>
            <c:marker>
              <c:symbol val="circle"/>
              <c:size val="5"/>
              <c:spPr>
                <a:solidFill>
                  <a:srgbClr val="00FFFF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50-45A9-4C64-A0DB-4944082DB516}"/>
              </c:ext>
            </c:extLst>
          </c:dPt>
          <c:dPt>
            <c:idx val="81"/>
            <c:marker>
              <c:symbol val="circle"/>
              <c:size val="5"/>
              <c:spPr>
                <a:solidFill>
                  <a:srgbClr val="00FFFF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51-45A9-4C64-A0DB-4944082DB516}"/>
              </c:ext>
            </c:extLst>
          </c:dPt>
          <c:dPt>
            <c:idx val="82"/>
            <c:marker>
              <c:symbol val="circle"/>
              <c:size val="5"/>
              <c:spPr>
                <a:solidFill>
                  <a:srgbClr val="00FFFF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52-45A9-4C64-A0DB-4944082DB516}"/>
              </c:ext>
            </c:extLst>
          </c:dPt>
          <c:dPt>
            <c:idx val="83"/>
            <c:marker>
              <c:symbol val="circle"/>
              <c:size val="5"/>
              <c:spPr>
                <a:solidFill>
                  <a:srgbClr val="00FFFF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53-45A9-4C64-A0DB-4944082DB516}"/>
              </c:ext>
            </c:extLst>
          </c:dPt>
          <c:dPt>
            <c:idx val="84"/>
            <c:marker>
              <c:symbol val="circle"/>
              <c:size val="5"/>
              <c:spPr>
                <a:solidFill>
                  <a:srgbClr val="00FFFF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54-45A9-4C64-A0DB-4944082DB516}"/>
              </c:ext>
            </c:extLst>
          </c:dPt>
          <c:dPt>
            <c:idx val="85"/>
            <c:marker>
              <c:symbol val="circle"/>
              <c:size val="5"/>
              <c:spPr>
                <a:solidFill>
                  <a:srgbClr val="FF0000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55-45A9-4C64-A0DB-4944082DB516}"/>
              </c:ext>
            </c:extLst>
          </c:dPt>
          <c:dPt>
            <c:idx val="86"/>
            <c:marker>
              <c:symbol val="circle"/>
              <c:size val="5"/>
              <c:spPr>
                <a:solidFill>
                  <a:srgbClr val="FF0000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56-45A9-4C64-A0DB-4944082DB516}"/>
              </c:ext>
            </c:extLst>
          </c:dPt>
          <c:dPt>
            <c:idx val="87"/>
            <c:marker>
              <c:symbol val="circle"/>
              <c:size val="5"/>
              <c:spPr>
                <a:solidFill>
                  <a:srgbClr val="FF0000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57-45A9-4C64-A0DB-4944082DB516}"/>
              </c:ext>
            </c:extLst>
          </c:dPt>
          <c:dPt>
            <c:idx val="88"/>
            <c:marker>
              <c:symbol val="circle"/>
              <c:size val="5"/>
              <c:spPr>
                <a:solidFill>
                  <a:srgbClr val="FF0000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58-45A9-4C64-A0DB-4944082DB516}"/>
              </c:ext>
            </c:extLst>
          </c:dPt>
          <c:dPt>
            <c:idx val="89"/>
            <c:marker>
              <c:symbol val="circle"/>
              <c:size val="5"/>
              <c:spPr>
                <a:solidFill>
                  <a:srgbClr val="FF0000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59-45A9-4C64-A0DB-4944082DB516}"/>
              </c:ext>
            </c:extLst>
          </c:dPt>
          <c:dPt>
            <c:idx val="90"/>
            <c:marker>
              <c:symbol val="circle"/>
              <c:size val="5"/>
              <c:spPr>
                <a:solidFill>
                  <a:srgbClr val="FF0000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5A-45A9-4C64-A0DB-4944082DB516}"/>
              </c:ext>
            </c:extLst>
          </c:dPt>
          <c:dPt>
            <c:idx val="91"/>
            <c:marker>
              <c:symbol val="circle"/>
              <c:size val="5"/>
              <c:spPr>
                <a:solidFill>
                  <a:srgbClr val="FF0000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5B-45A9-4C64-A0DB-4944082DB516}"/>
              </c:ext>
            </c:extLst>
          </c:dPt>
          <c:dPt>
            <c:idx val="92"/>
            <c:marker>
              <c:symbol val="circle"/>
              <c:size val="5"/>
              <c:spPr>
                <a:solidFill>
                  <a:srgbClr val="FF0000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5C-45A9-4C64-A0DB-4944082DB516}"/>
              </c:ext>
            </c:extLst>
          </c:dPt>
          <c:dPt>
            <c:idx val="93"/>
            <c:marker>
              <c:symbol val="circle"/>
              <c:size val="5"/>
              <c:spPr>
                <a:solidFill>
                  <a:srgbClr val="FF0000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5D-45A9-4C64-A0DB-4944082DB516}"/>
              </c:ext>
            </c:extLst>
          </c:dPt>
          <c:dPt>
            <c:idx val="94"/>
            <c:marker>
              <c:symbol val="circle"/>
              <c:size val="5"/>
              <c:spPr>
                <a:solidFill>
                  <a:srgbClr val="FF0000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5E-45A9-4C64-A0DB-4944082DB516}"/>
              </c:ext>
            </c:extLst>
          </c:dPt>
          <c:dPt>
            <c:idx val="95"/>
            <c:marker>
              <c:symbol val="circle"/>
              <c:size val="5"/>
              <c:spPr>
                <a:solidFill>
                  <a:srgbClr val="FF0000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5F-45A9-4C64-A0DB-4944082DB516}"/>
              </c:ext>
            </c:extLst>
          </c:dPt>
          <c:dPt>
            <c:idx val="96"/>
            <c:marker>
              <c:symbol val="circle"/>
              <c:size val="5"/>
              <c:spPr>
                <a:solidFill>
                  <a:srgbClr val="00FF00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60-45A9-4C64-A0DB-4944082DB516}"/>
              </c:ext>
            </c:extLst>
          </c:dPt>
          <c:dPt>
            <c:idx val="97"/>
            <c:marker>
              <c:symbol val="circle"/>
              <c:size val="5"/>
              <c:spPr>
                <a:solidFill>
                  <a:srgbClr val="00FF00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61-45A9-4C64-A0DB-4944082DB516}"/>
              </c:ext>
            </c:extLst>
          </c:dPt>
          <c:dPt>
            <c:idx val="98"/>
            <c:marker>
              <c:symbol val="circle"/>
              <c:size val="5"/>
              <c:spPr>
                <a:solidFill>
                  <a:srgbClr val="00FF00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62-45A9-4C64-A0DB-4944082DB516}"/>
              </c:ext>
            </c:extLst>
          </c:dPt>
          <c:dPt>
            <c:idx val="99"/>
            <c:marker>
              <c:symbol val="circle"/>
              <c:size val="5"/>
              <c:spPr>
                <a:solidFill>
                  <a:srgbClr val="00FF00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63-45A9-4C64-A0DB-4944082DB516}"/>
              </c:ext>
            </c:extLst>
          </c:dPt>
          <c:dPt>
            <c:idx val="100"/>
            <c:marker>
              <c:symbol val="circle"/>
              <c:size val="5"/>
              <c:spPr>
                <a:solidFill>
                  <a:srgbClr val="00FF00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64-45A9-4C64-A0DB-4944082DB516}"/>
              </c:ext>
            </c:extLst>
          </c:dPt>
          <c:dPt>
            <c:idx val="101"/>
            <c:marker>
              <c:symbol val="circle"/>
              <c:size val="5"/>
              <c:spPr>
                <a:solidFill>
                  <a:srgbClr val="00FF00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65-45A9-4C64-A0DB-4944082DB516}"/>
              </c:ext>
            </c:extLst>
          </c:dPt>
          <c:dPt>
            <c:idx val="102"/>
            <c:marker>
              <c:symbol val="circle"/>
              <c:size val="5"/>
              <c:spPr>
                <a:solidFill>
                  <a:srgbClr val="00FF00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66-45A9-4C64-A0DB-4944082DB516}"/>
              </c:ext>
            </c:extLst>
          </c:dPt>
          <c:dPt>
            <c:idx val="103"/>
            <c:marker>
              <c:symbol val="circle"/>
              <c:size val="5"/>
              <c:spPr>
                <a:solidFill>
                  <a:srgbClr val="00FF00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67-45A9-4C64-A0DB-4944082DB516}"/>
              </c:ext>
            </c:extLst>
          </c:dPt>
          <c:dPt>
            <c:idx val="104"/>
            <c:marker>
              <c:symbol val="circle"/>
              <c:size val="5"/>
              <c:spPr>
                <a:solidFill>
                  <a:srgbClr val="00FF00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68-45A9-4C64-A0DB-4944082DB516}"/>
              </c:ext>
            </c:extLst>
          </c:dPt>
          <c:dPt>
            <c:idx val="105"/>
            <c:marker>
              <c:symbol val="circle"/>
              <c:size val="5"/>
              <c:spPr>
                <a:solidFill>
                  <a:srgbClr val="00FF00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69-45A9-4C64-A0DB-4944082DB516}"/>
              </c:ext>
            </c:extLst>
          </c:dPt>
          <c:dPt>
            <c:idx val="106"/>
            <c:marker>
              <c:symbol val="circle"/>
              <c:size val="5"/>
              <c:spPr>
                <a:solidFill>
                  <a:srgbClr val="00FF00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6A-45A9-4C64-A0DB-4944082DB516}"/>
              </c:ext>
            </c:extLst>
          </c:dPt>
          <c:dPt>
            <c:idx val="107"/>
            <c:marker>
              <c:symbol val="circle"/>
              <c:size val="5"/>
              <c:spPr>
                <a:solidFill>
                  <a:srgbClr val="0000FF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6B-45A9-4C64-A0DB-4944082DB516}"/>
              </c:ext>
            </c:extLst>
          </c:dPt>
          <c:dPt>
            <c:idx val="108"/>
            <c:marker>
              <c:symbol val="circle"/>
              <c:size val="5"/>
              <c:spPr>
                <a:solidFill>
                  <a:srgbClr val="0000FF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6C-45A9-4C64-A0DB-4944082DB516}"/>
              </c:ext>
            </c:extLst>
          </c:dPt>
          <c:dPt>
            <c:idx val="109"/>
            <c:marker>
              <c:symbol val="circle"/>
              <c:size val="5"/>
              <c:spPr>
                <a:solidFill>
                  <a:srgbClr val="0000FF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6D-45A9-4C64-A0DB-4944082DB516}"/>
              </c:ext>
            </c:extLst>
          </c:dPt>
          <c:dPt>
            <c:idx val="110"/>
            <c:marker>
              <c:symbol val="circle"/>
              <c:size val="5"/>
              <c:spPr>
                <a:solidFill>
                  <a:srgbClr val="0000FF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6E-45A9-4C64-A0DB-4944082DB516}"/>
              </c:ext>
            </c:extLst>
          </c:dPt>
          <c:dPt>
            <c:idx val="111"/>
            <c:marker>
              <c:symbol val="circle"/>
              <c:size val="5"/>
              <c:spPr>
                <a:solidFill>
                  <a:srgbClr val="0000FF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6F-45A9-4C64-A0DB-4944082DB516}"/>
              </c:ext>
            </c:extLst>
          </c:dPt>
          <c:dPt>
            <c:idx val="112"/>
            <c:marker>
              <c:symbol val="circle"/>
              <c:size val="5"/>
              <c:spPr>
                <a:solidFill>
                  <a:srgbClr val="0000FF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70-45A9-4C64-A0DB-4944082DB516}"/>
              </c:ext>
            </c:extLst>
          </c:dPt>
          <c:dPt>
            <c:idx val="113"/>
            <c:marker>
              <c:symbol val="circle"/>
              <c:size val="5"/>
              <c:spPr>
                <a:solidFill>
                  <a:srgbClr val="0000FF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71-45A9-4C64-A0DB-4944082DB516}"/>
              </c:ext>
            </c:extLst>
          </c:dPt>
          <c:dPt>
            <c:idx val="114"/>
            <c:marker>
              <c:symbol val="circle"/>
              <c:size val="5"/>
              <c:spPr>
                <a:solidFill>
                  <a:srgbClr val="0000FF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72-45A9-4C64-A0DB-4944082DB516}"/>
              </c:ext>
            </c:extLst>
          </c:dPt>
          <c:dPt>
            <c:idx val="115"/>
            <c:marker>
              <c:symbol val="circle"/>
              <c:size val="5"/>
              <c:spPr>
                <a:solidFill>
                  <a:srgbClr val="0000FF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73-45A9-4C64-A0DB-4944082DB516}"/>
              </c:ext>
            </c:extLst>
          </c:dPt>
          <c:dPt>
            <c:idx val="116"/>
            <c:marker>
              <c:symbol val="circle"/>
              <c:size val="5"/>
              <c:spPr>
                <a:solidFill>
                  <a:srgbClr val="0000FF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74-45A9-4C64-A0DB-4944082DB516}"/>
              </c:ext>
            </c:extLst>
          </c:dPt>
          <c:dPt>
            <c:idx val="117"/>
            <c:marker>
              <c:symbol val="circle"/>
              <c:size val="5"/>
              <c:spPr>
                <a:solidFill>
                  <a:srgbClr val="0000FF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75-45A9-4C64-A0DB-4944082DB516}"/>
              </c:ext>
            </c:extLst>
          </c:dPt>
          <c:dPt>
            <c:idx val="118"/>
            <c:marker>
              <c:symbol val="circle"/>
              <c:size val="5"/>
              <c:spPr>
                <a:solidFill>
                  <a:srgbClr val="FFFF00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76-45A9-4C64-A0DB-4944082DB516}"/>
              </c:ext>
            </c:extLst>
          </c:dPt>
          <c:dPt>
            <c:idx val="119"/>
            <c:marker>
              <c:symbol val="circle"/>
              <c:size val="5"/>
              <c:spPr>
                <a:solidFill>
                  <a:srgbClr val="FFFF00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77-45A9-4C64-A0DB-4944082DB516}"/>
              </c:ext>
            </c:extLst>
          </c:dPt>
          <c:dPt>
            <c:idx val="120"/>
            <c:marker>
              <c:symbol val="circle"/>
              <c:size val="5"/>
              <c:spPr>
                <a:solidFill>
                  <a:srgbClr val="FFFF00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78-45A9-4C64-A0DB-4944082DB516}"/>
              </c:ext>
            </c:extLst>
          </c:dPt>
          <c:dPt>
            <c:idx val="121"/>
            <c:marker>
              <c:symbol val="circle"/>
              <c:size val="5"/>
              <c:spPr>
                <a:solidFill>
                  <a:srgbClr val="FFFF00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79-45A9-4C64-A0DB-4944082DB516}"/>
              </c:ext>
            </c:extLst>
          </c:dPt>
          <c:dPt>
            <c:idx val="122"/>
            <c:marker>
              <c:symbol val="circle"/>
              <c:size val="5"/>
              <c:spPr>
                <a:solidFill>
                  <a:srgbClr val="FFFF00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7A-45A9-4C64-A0DB-4944082DB516}"/>
              </c:ext>
            </c:extLst>
          </c:dPt>
          <c:dPt>
            <c:idx val="123"/>
            <c:marker>
              <c:symbol val="circle"/>
              <c:size val="5"/>
              <c:spPr>
                <a:solidFill>
                  <a:srgbClr val="FFFF00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7B-45A9-4C64-A0DB-4944082DB516}"/>
              </c:ext>
            </c:extLst>
          </c:dPt>
          <c:dPt>
            <c:idx val="124"/>
            <c:marker>
              <c:symbol val="circle"/>
              <c:size val="5"/>
              <c:spPr>
                <a:solidFill>
                  <a:srgbClr val="FFFF00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7C-45A9-4C64-A0DB-4944082DB516}"/>
              </c:ext>
            </c:extLst>
          </c:dPt>
          <c:dPt>
            <c:idx val="125"/>
            <c:marker>
              <c:symbol val="circle"/>
              <c:size val="5"/>
              <c:spPr>
                <a:solidFill>
                  <a:srgbClr val="FFFF00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7D-45A9-4C64-A0DB-4944082DB516}"/>
              </c:ext>
            </c:extLst>
          </c:dPt>
          <c:dPt>
            <c:idx val="126"/>
            <c:marker>
              <c:symbol val="circle"/>
              <c:size val="5"/>
              <c:spPr>
                <a:solidFill>
                  <a:srgbClr val="FFFF00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7E-45A9-4C64-A0DB-4944082DB516}"/>
              </c:ext>
            </c:extLst>
          </c:dPt>
          <c:dPt>
            <c:idx val="127"/>
            <c:marker>
              <c:symbol val="circle"/>
              <c:size val="5"/>
              <c:spPr>
                <a:solidFill>
                  <a:srgbClr val="FFFF00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7F-45A9-4C64-A0DB-4944082DB516}"/>
              </c:ext>
            </c:extLst>
          </c:dPt>
          <c:dPt>
            <c:idx val="128"/>
            <c:marker>
              <c:symbol val="circle"/>
              <c:size val="5"/>
              <c:spPr>
                <a:solidFill>
                  <a:srgbClr val="FFFF00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80-45A9-4C64-A0DB-4944082DB516}"/>
              </c:ext>
            </c:extLst>
          </c:dPt>
          <c:dPt>
            <c:idx val="129"/>
            <c:marker>
              <c:symbol val="circle"/>
              <c:size val="5"/>
              <c:spPr>
                <a:solidFill>
                  <a:srgbClr val="00FFFF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81-45A9-4C64-A0DB-4944082DB516}"/>
              </c:ext>
            </c:extLst>
          </c:dPt>
          <c:dPt>
            <c:idx val="130"/>
            <c:marker>
              <c:symbol val="circle"/>
              <c:size val="5"/>
              <c:spPr>
                <a:solidFill>
                  <a:srgbClr val="00FFFF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82-45A9-4C64-A0DB-4944082DB516}"/>
              </c:ext>
            </c:extLst>
          </c:dPt>
          <c:dPt>
            <c:idx val="131"/>
            <c:marker>
              <c:symbol val="circle"/>
              <c:size val="5"/>
              <c:spPr>
                <a:solidFill>
                  <a:srgbClr val="00FFFF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83-45A9-4C64-A0DB-4944082DB516}"/>
              </c:ext>
            </c:extLst>
          </c:dPt>
          <c:dPt>
            <c:idx val="132"/>
            <c:marker>
              <c:symbol val="circle"/>
              <c:size val="5"/>
              <c:spPr>
                <a:solidFill>
                  <a:srgbClr val="00FFFF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84-45A9-4C64-A0DB-4944082DB516}"/>
              </c:ext>
            </c:extLst>
          </c:dPt>
          <c:dPt>
            <c:idx val="133"/>
            <c:marker>
              <c:symbol val="circle"/>
              <c:size val="5"/>
              <c:spPr>
                <a:solidFill>
                  <a:srgbClr val="00FFFF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85-45A9-4C64-A0DB-4944082DB516}"/>
              </c:ext>
            </c:extLst>
          </c:dPt>
          <c:dPt>
            <c:idx val="134"/>
            <c:marker>
              <c:symbol val="circle"/>
              <c:size val="5"/>
              <c:spPr>
                <a:solidFill>
                  <a:srgbClr val="00FFFF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86-45A9-4C64-A0DB-4944082DB516}"/>
              </c:ext>
            </c:extLst>
          </c:dPt>
          <c:dPt>
            <c:idx val="135"/>
            <c:marker>
              <c:symbol val="circle"/>
              <c:size val="5"/>
              <c:spPr>
                <a:solidFill>
                  <a:srgbClr val="00FFFF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87-45A9-4C64-A0DB-4944082DB516}"/>
              </c:ext>
            </c:extLst>
          </c:dPt>
          <c:dPt>
            <c:idx val="136"/>
            <c:marker>
              <c:symbol val="circle"/>
              <c:size val="5"/>
              <c:spPr>
                <a:solidFill>
                  <a:srgbClr val="00FFFF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88-45A9-4C64-A0DB-4944082DB516}"/>
              </c:ext>
            </c:extLst>
          </c:dPt>
          <c:dPt>
            <c:idx val="137"/>
            <c:marker>
              <c:symbol val="circle"/>
              <c:size val="5"/>
              <c:spPr>
                <a:solidFill>
                  <a:srgbClr val="00FFFF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89-45A9-4C64-A0DB-4944082DB516}"/>
              </c:ext>
            </c:extLst>
          </c:dPt>
          <c:dPt>
            <c:idx val="138"/>
            <c:marker>
              <c:symbol val="circle"/>
              <c:size val="5"/>
              <c:spPr>
                <a:solidFill>
                  <a:srgbClr val="00FFFF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8A-45A9-4C64-A0DB-4944082DB516}"/>
              </c:ext>
            </c:extLst>
          </c:dPt>
          <c:dPt>
            <c:idx val="139"/>
            <c:marker>
              <c:symbol val="circle"/>
              <c:size val="5"/>
              <c:spPr>
                <a:solidFill>
                  <a:srgbClr val="00FFFF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8B-45A9-4C64-A0DB-4944082DB516}"/>
              </c:ext>
            </c:extLst>
          </c:dPt>
          <c:dPt>
            <c:idx val="140"/>
            <c:marker>
              <c:symbol val="circle"/>
              <c:size val="5"/>
              <c:spPr>
                <a:solidFill>
                  <a:srgbClr val="FF0000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8C-45A9-4C64-A0DB-4944082DB516}"/>
              </c:ext>
            </c:extLst>
          </c:dPt>
          <c:dPt>
            <c:idx val="141"/>
            <c:marker>
              <c:symbol val="circle"/>
              <c:size val="5"/>
              <c:spPr>
                <a:solidFill>
                  <a:srgbClr val="FF0000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8D-45A9-4C64-A0DB-4944082DB516}"/>
              </c:ext>
            </c:extLst>
          </c:dPt>
          <c:dPt>
            <c:idx val="142"/>
            <c:marker>
              <c:symbol val="circle"/>
              <c:size val="5"/>
              <c:spPr>
                <a:solidFill>
                  <a:srgbClr val="FF0000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8E-45A9-4C64-A0DB-4944082DB516}"/>
              </c:ext>
            </c:extLst>
          </c:dPt>
          <c:dPt>
            <c:idx val="143"/>
            <c:marker>
              <c:symbol val="circle"/>
              <c:size val="5"/>
              <c:spPr>
                <a:solidFill>
                  <a:srgbClr val="FF0000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8F-45A9-4C64-A0DB-4944082DB516}"/>
              </c:ext>
            </c:extLst>
          </c:dPt>
          <c:dPt>
            <c:idx val="144"/>
            <c:marker>
              <c:symbol val="circle"/>
              <c:size val="5"/>
              <c:spPr>
                <a:solidFill>
                  <a:srgbClr val="FF0000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90-45A9-4C64-A0DB-4944082DB516}"/>
              </c:ext>
            </c:extLst>
          </c:dPt>
          <c:dPt>
            <c:idx val="145"/>
            <c:marker>
              <c:symbol val="circle"/>
              <c:size val="5"/>
              <c:spPr>
                <a:solidFill>
                  <a:srgbClr val="FF0000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91-45A9-4C64-A0DB-4944082DB516}"/>
              </c:ext>
            </c:extLst>
          </c:dPt>
          <c:dPt>
            <c:idx val="146"/>
            <c:marker>
              <c:symbol val="circle"/>
              <c:size val="5"/>
              <c:spPr>
                <a:solidFill>
                  <a:srgbClr val="FF0000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92-45A9-4C64-A0DB-4944082DB516}"/>
              </c:ext>
            </c:extLst>
          </c:dPt>
          <c:dPt>
            <c:idx val="147"/>
            <c:marker>
              <c:symbol val="circle"/>
              <c:size val="5"/>
              <c:spPr>
                <a:solidFill>
                  <a:srgbClr val="FF0000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93-45A9-4C64-A0DB-4944082DB516}"/>
              </c:ext>
            </c:extLst>
          </c:dPt>
          <c:dPt>
            <c:idx val="148"/>
            <c:marker>
              <c:symbol val="circle"/>
              <c:size val="5"/>
              <c:spPr>
                <a:solidFill>
                  <a:srgbClr val="FF0000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94-45A9-4C64-A0DB-4944082DB516}"/>
              </c:ext>
            </c:extLst>
          </c:dPt>
          <c:dPt>
            <c:idx val="149"/>
            <c:marker>
              <c:symbol val="circle"/>
              <c:size val="5"/>
              <c:spPr>
                <a:solidFill>
                  <a:srgbClr val="FF0000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95-45A9-4C64-A0DB-4944082DB516}"/>
              </c:ext>
            </c:extLst>
          </c:dPt>
          <c:dPt>
            <c:idx val="150"/>
            <c:marker>
              <c:symbol val="circle"/>
              <c:size val="5"/>
              <c:spPr>
                <a:solidFill>
                  <a:srgbClr val="00FF00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96-45A9-4C64-A0DB-4944082DB516}"/>
              </c:ext>
            </c:extLst>
          </c:dPt>
          <c:dPt>
            <c:idx val="151"/>
            <c:marker>
              <c:symbol val="circle"/>
              <c:size val="5"/>
              <c:spPr>
                <a:solidFill>
                  <a:srgbClr val="00FF00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97-45A9-4C64-A0DB-4944082DB516}"/>
              </c:ext>
            </c:extLst>
          </c:dPt>
          <c:dPt>
            <c:idx val="152"/>
            <c:marker>
              <c:symbol val="circle"/>
              <c:size val="5"/>
              <c:spPr>
                <a:solidFill>
                  <a:srgbClr val="00FF00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98-45A9-4C64-A0DB-4944082DB516}"/>
              </c:ext>
            </c:extLst>
          </c:dPt>
          <c:dPt>
            <c:idx val="153"/>
            <c:marker>
              <c:symbol val="circle"/>
              <c:size val="5"/>
              <c:spPr>
                <a:solidFill>
                  <a:srgbClr val="00FF00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99-45A9-4C64-A0DB-4944082DB516}"/>
              </c:ext>
            </c:extLst>
          </c:dPt>
          <c:dPt>
            <c:idx val="154"/>
            <c:marker>
              <c:symbol val="circle"/>
              <c:size val="5"/>
              <c:spPr>
                <a:solidFill>
                  <a:srgbClr val="00FF00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9A-45A9-4C64-A0DB-4944082DB516}"/>
              </c:ext>
            </c:extLst>
          </c:dPt>
          <c:dPt>
            <c:idx val="155"/>
            <c:marker>
              <c:symbol val="circle"/>
              <c:size val="5"/>
              <c:spPr>
                <a:solidFill>
                  <a:srgbClr val="00FF00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9B-45A9-4C64-A0DB-4944082DB516}"/>
              </c:ext>
            </c:extLst>
          </c:dPt>
          <c:dPt>
            <c:idx val="156"/>
            <c:marker>
              <c:symbol val="circle"/>
              <c:size val="5"/>
              <c:spPr>
                <a:solidFill>
                  <a:srgbClr val="00FF00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9C-45A9-4C64-A0DB-4944082DB516}"/>
              </c:ext>
            </c:extLst>
          </c:dPt>
          <c:dPt>
            <c:idx val="157"/>
            <c:marker>
              <c:symbol val="circle"/>
              <c:size val="5"/>
              <c:spPr>
                <a:solidFill>
                  <a:srgbClr val="00FF00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9D-45A9-4C64-A0DB-4944082DB516}"/>
              </c:ext>
            </c:extLst>
          </c:dPt>
          <c:dPt>
            <c:idx val="158"/>
            <c:marker>
              <c:symbol val="circle"/>
              <c:size val="5"/>
              <c:spPr>
                <a:solidFill>
                  <a:srgbClr val="00FF00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9E-45A9-4C64-A0DB-4944082DB516}"/>
              </c:ext>
            </c:extLst>
          </c:dPt>
          <c:dPt>
            <c:idx val="159"/>
            <c:marker>
              <c:symbol val="circle"/>
              <c:size val="5"/>
              <c:spPr>
                <a:solidFill>
                  <a:srgbClr val="00FF00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9F-45A9-4C64-A0DB-4944082DB516}"/>
              </c:ext>
            </c:extLst>
          </c:dPt>
          <c:dPt>
            <c:idx val="160"/>
            <c:marker>
              <c:symbol val="circle"/>
              <c:size val="5"/>
              <c:spPr>
                <a:solidFill>
                  <a:srgbClr val="0000FF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A0-45A9-4C64-A0DB-4944082DB516}"/>
              </c:ext>
            </c:extLst>
          </c:dPt>
          <c:dPt>
            <c:idx val="161"/>
            <c:marker>
              <c:symbol val="circle"/>
              <c:size val="5"/>
              <c:spPr>
                <a:solidFill>
                  <a:srgbClr val="0000FF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A1-45A9-4C64-A0DB-4944082DB516}"/>
              </c:ext>
            </c:extLst>
          </c:dPt>
          <c:dPt>
            <c:idx val="162"/>
            <c:marker>
              <c:symbol val="circle"/>
              <c:size val="5"/>
              <c:spPr>
                <a:solidFill>
                  <a:srgbClr val="0000FF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A2-45A9-4C64-A0DB-4944082DB516}"/>
              </c:ext>
            </c:extLst>
          </c:dPt>
          <c:dPt>
            <c:idx val="163"/>
            <c:marker>
              <c:symbol val="circle"/>
              <c:size val="5"/>
              <c:spPr>
                <a:solidFill>
                  <a:srgbClr val="0000FF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A3-45A9-4C64-A0DB-4944082DB516}"/>
              </c:ext>
            </c:extLst>
          </c:dPt>
          <c:dPt>
            <c:idx val="164"/>
            <c:marker>
              <c:symbol val="circle"/>
              <c:size val="5"/>
              <c:spPr>
                <a:solidFill>
                  <a:srgbClr val="0000FF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A4-45A9-4C64-A0DB-4944082DB516}"/>
              </c:ext>
            </c:extLst>
          </c:dPt>
          <c:dPt>
            <c:idx val="165"/>
            <c:marker>
              <c:symbol val="circle"/>
              <c:size val="5"/>
              <c:spPr>
                <a:solidFill>
                  <a:srgbClr val="0000FF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A5-45A9-4C64-A0DB-4944082DB516}"/>
              </c:ext>
            </c:extLst>
          </c:dPt>
          <c:dPt>
            <c:idx val="166"/>
            <c:marker>
              <c:symbol val="circle"/>
              <c:size val="5"/>
              <c:spPr>
                <a:solidFill>
                  <a:srgbClr val="0000FF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A6-45A9-4C64-A0DB-4944082DB516}"/>
              </c:ext>
            </c:extLst>
          </c:dPt>
          <c:dPt>
            <c:idx val="167"/>
            <c:marker>
              <c:symbol val="circle"/>
              <c:size val="5"/>
              <c:spPr>
                <a:solidFill>
                  <a:srgbClr val="0000FF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A7-45A9-4C64-A0DB-4944082DB516}"/>
              </c:ext>
            </c:extLst>
          </c:dPt>
          <c:dPt>
            <c:idx val="168"/>
            <c:marker>
              <c:symbol val="circle"/>
              <c:size val="5"/>
              <c:spPr>
                <a:solidFill>
                  <a:srgbClr val="0000FF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A8-45A9-4C64-A0DB-4944082DB516}"/>
              </c:ext>
            </c:extLst>
          </c:dPt>
          <c:dPt>
            <c:idx val="169"/>
            <c:marker>
              <c:symbol val="circle"/>
              <c:size val="5"/>
              <c:spPr>
                <a:solidFill>
                  <a:srgbClr val="0000FF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A9-45A9-4C64-A0DB-4944082DB516}"/>
              </c:ext>
            </c:extLst>
          </c:dPt>
          <c:dPt>
            <c:idx val="170"/>
            <c:marker>
              <c:symbol val="circle"/>
              <c:size val="5"/>
              <c:spPr>
                <a:solidFill>
                  <a:srgbClr val="FFFF00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AA-45A9-4C64-A0DB-4944082DB516}"/>
              </c:ext>
            </c:extLst>
          </c:dPt>
          <c:dPt>
            <c:idx val="171"/>
            <c:marker>
              <c:symbol val="circle"/>
              <c:size val="5"/>
              <c:spPr>
                <a:solidFill>
                  <a:srgbClr val="FFFF00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AB-45A9-4C64-A0DB-4944082DB516}"/>
              </c:ext>
            </c:extLst>
          </c:dPt>
          <c:dPt>
            <c:idx val="172"/>
            <c:marker>
              <c:symbol val="circle"/>
              <c:size val="5"/>
              <c:spPr>
                <a:solidFill>
                  <a:srgbClr val="FFFF00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AC-45A9-4C64-A0DB-4944082DB516}"/>
              </c:ext>
            </c:extLst>
          </c:dPt>
          <c:dPt>
            <c:idx val="173"/>
            <c:marker>
              <c:symbol val="circle"/>
              <c:size val="5"/>
              <c:spPr>
                <a:solidFill>
                  <a:srgbClr val="FFFF00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AD-45A9-4C64-A0DB-4944082DB516}"/>
              </c:ext>
            </c:extLst>
          </c:dPt>
          <c:dPt>
            <c:idx val="174"/>
            <c:marker>
              <c:symbol val="circle"/>
              <c:size val="5"/>
              <c:spPr>
                <a:solidFill>
                  <a:srgbClr val="FFFF00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AE-45A9-4C64-A0DB-4944082DB516}"/>
              </c:ext>
            </c:extLst>
          </c:dPt>
          <c:dPt>
            <c:idx val="175"/>
            <c:marker>
              <c:symbol val="circle"/>
              <c:size val="5"/>
              <c:spPr>
                <a:solidFill>
                  <a:srgbClr val="FFFF00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AF-45A9-4C64-A0DB-4944082DB516}"/>
              </c:ext>
            </c:extLst>
          </c:dPt>
          <c:dPt>
            <c:idx val="176"/>
            <c:marker>
              <c:symbol val="circle"/>
              <c:size val="5"/>
              <c:spPr>
                <a:solidFill>
                  <a:srgbClr val="FFFF00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B0-45A9-4C64-A0DB-4944082DB516}"/>
              </c:ext>
            </c:extLst>
          </c:dPt>
          <c:dPt>
            <c:idx val="177"/>
            <c:marker>
              <c:symbol val="circle"/>
              <c:size val="5"/>
              <c:spPr>
                <a:solidFill>
                  <a:srgbClr val="FFFF00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B1-45A9-4C64-A0DB-4944082DB516}"/>
              </c:ext>
            </c:extLst>
          </c:dPt>
          <c:dPt>
            <c:idx val="178"/>
            <c:marker>
              <c:symbol val="circle"/>
              <c:size val="5"/>
              <c:spPr>
                <a:solidFill>
                  <a:srgbClr val="FFFF00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B2-45A9-4C64-A0DB-4944082DB516}"/>
              </c:ext>
            </c:extLst>
          </c:dPt>
          <c:dPt>
            <c:idx val="179"/>
            <c:marker>
              <c:symbol val="circle"/>
              <c:size val="5"/>
              <c:spPr>
                <a:solidFill>
                  <a:srgbClr val="FFFF00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B3-45A9-4C64-A0DB-4944082DB516}"/>
              </c:ext>
            </c:extLst>
          </c:dPt>
          <c:dPt>
            <c:idx val="180"/>
            <c:marker>
              <c:symbol val="circle"/>
              <c:size val="5"/>
              <c:spPr>
                <a:solidFill>
                  <a:srgbClr val="00FFFF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B4-45A9-4C64-A0DB-4944082DB516}"/>
              </c:ext>
            </c:extLst>
          </c:dPt>
          <c:dPt>
            <c:idx val="181"/>
            <c:marker>
              <c:symbol val="circle"/>
              <c:size val="5"/>
              <c:spPr>
                <a:solidFill>
                  <a:srgbClr val="00FFFF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B5-45A9-4C64-A0DB-4944082DB516}"/>
              </c:ext>
            </c:extLst>
          </c:dPt>
          <c:dPt>
            <c:idx val="182"/>
            <c:marker>
              <c:symbol val="circle"/>
              <c:size val="5"/>
              <c:spPr>
                <a:solidFill>
                  <a:srgbClr val="00FFFF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B6-45A9-4C64-A0DB-4944082DB516}"/>
              </c:ext>
            </c:extLst>
          </c:dPt>
          <c:dPt>
            <c:idx val="183"/>
            <c:marker>
              <c:symbol val="circle"/>
              <c:size val="5"/>
              <c:spPr>
                <a:solidFill>
                  <a:srgbClr val="00FFFF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B7-45A9-4C64-A0DB-4944082DB516}"/>
              </c:ext>
            </c:extLst>
          </c:dPt>
          <c:dPt>
            <c:idx val="184"/>
            <c:marker>
              <c:symbol val="circle"/>
              <c:size val="5"/>
              <c:spPr>
                <a:solidFill>
                  <a:srgbClr val="00FFFF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B8-45A9-4C64-A0DB-4944082DB516}"/>
              </c:ext>
            </c:extLst>
          </c:dPt>
          <c:dPt>
            <c:idx val="185"/>
            <c:marker>
              <c:symbol val="circle"/>
              <c:size val="5"/>
              <c:spPr>
                <a:solidFill>
                  <a:srgbClr val="00FFFF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B9-45A9-4C64-A0DB-4944082DB516}"/>
              </c:ext>
            </c:extLst>
          </c:dPt>
          <c:dPt>
            <c:idx val="186"/>
            <c:marker>
              <c:symbol val="circle"/>
              <c:size val="5"/>
              <c:spPr>
                <a:solidFill>
                  <a:srgbClr val="00FFFF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BA-45A9-4C64-A0DB-4944082DB516}"/>
              </c:ext>
            </c:extLst>
          </c:dPt>
          <c:dPt>
            <c:idx val="187"/>
            <c:marker>
              <c:symbol val="circle"/>
              <c:size val="5"/>
              <c:spPr>
                <a:solidFill>
                  <a:srgbClr val="00FFFF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BB-45A9-4C64-A0DB-4944082DB516}"/>
              </c:ext>
            </c:extLst>
          </c:dPt>
          <c:dPt>
            <c:idx val="188"/>
            <c:marker>
              <c:symbol val="circle"/>
              <c:size val="5"/>
              <c:spPr>
                <a:solidFill>
                  <a:srgbClr val="00FFFF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BC-45A9-4C64-A0DB-4944082DB516}"/>
              </c:ext>
            </c:extLst>
          </c:dPt>
          <c:dPt>
            <c:idx val="189"/>
            <c:marker>
              <c:symbol val="circle"/>
              <c:size val="5"/>
              <c:spPr>
                <a:solidFill>
                  <a:srgbClr val="00FFFF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BD-45A9-4C64-A0DB-4944082DB516}"/>
              </c:ext>
            </c:extLst>
          </c:dPt>
          <c:dPt>
            <c:idx val="190"/>
            <c:marker>
              <c:symbol val="circle"/>
              <c:size val="5"/>
              <c:spPr>
                <a:solidFill>
                  <a:srgbClr val="FF0000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BE-45A9-4C64-A0DB-4944082DB516}"/>
              </c:ext>
            </c:extLst>
          </c:dPt>
          <c:dPt>
            <c:idx val="191"/>
            <c:marker>
              <c:symbol val="circle"/>
              <c:size val="5"/>
              <c:spPr>
                <a:solidFill>
                  <a:srgbClr val="FF0000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BF-45A9-4C64-A0DB-4944082DB516}"/>
              </c:ext>
            </c:extLst>
          </c:dPt>
          <c:dPt>
            <c:idx val="192"/>
            <c:marker>
              <c:symbol val="circle"/>
              <c:size val="5"/>
              <c:spPr>
                <a:solidFill>
                  <a:srgbClr val="FF0000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C0-45A9-4C64-A0DB-4944082DB516}"/>
              </c:ext>
            </c:extLst>
          </c:dPt>
          <c:dPt>
            <c:idx val="193"/>
            <c:marker>
              <c:symbol val="circle"/>
              <c:size val="5"/>
              <c:spPr>
                <a:solidFill>
                  <a:srgbClr val="FF0000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C1-45A9-4C64-A0DB-4944082DB516}"/>
              </c:ext>
            </c:extLst>
          </c:dPt>
          <c:dPt>
            <c:idx val="194"/>
            <c:marker>
              <c:symbol val="circle"/>
              <c:size val="5"/>
              <c:spPr>
                <a:solidFill>
                  <a:srgbClr val="FF0000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C2-45A9-4C64-A0DB-4944082DB516}"/>
              </c:ext>
            </c:extLst>
          </c:dPt>
          <c:dPt>
            <c:idx val="195"/>
            <c:marker>
              <c:symbol val="circle"/>
              <c:size val="5"/>
              <c:spPr>
                <a:solidFill>
                  <a:srgbClr val="FF0000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C3-45A9-4C64-A0DB-4944082DB516}"/>
              </c:ext>
            </c:extLst>
          </c:dPt>
          <c:dPt>
            <c:idx val="196"/>
            <c:marker>
              <c:symbol val="circle"/>
              <c:size val="5"/>
              <c:spPr>
                <a:solidFill>
                  <a:srgbClr val="00FF00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C4-45A9-4C64-A0DB-4944082DB516}"/>
              </c:ext>
            </c:extLst>
          </c:dPt>
          <c:dPt>
            <c:idx val="197"/>
            <c:marker>
              <c:symbol val="circle"/>
              <c:size val="5"/>
              <c:spPr>
                <a:solidFill>
                  <a:srgbClr val="00FF00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C5-45A9-4C64-A0DB-4944082DB516}"/>
              </c:ext>
            </c:extLst>
          </c:dPt>
          <c:dPt>
            <c:idx val="198"/>
            <c:marker>
              <c:symbol val="circle"/>
              <c:size val="5"/>
              <c:spPr>
                <a:solidFill>
                  <a:srgbClr val="00FF00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C6-45A9-4C64-A0DB-4944082DB516}"/>
              </c:ext>
            </c:extLst>
          </c:dPt>
          <c:dPt>
            <c:idx val="199"/>
            <c:marker>
              <c:symbol val="circle"/>
              <c:size val="5"/>
              <c:spPr>
                <a:solidFill>
                  <a:srgbClr val="00FF00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C7-45A9-4C64-A0DB-4944082DB516}"/>
              </c:ext>
            </c:extLst>
          </c:dPt>
          <c:dPt>
            <c:idx val="200"/>
            <c:marker>
              <c:symbol val="circle"/>
              <c:size val="5"/>
              <c:spPr>
                <a:solidFill>
                  <a:srgbClr val="00FF00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C8-45A9-4C64-A0DB-4944082DB516}"/>
              </c:ext>
            </c:extLst>
          </c:dPt>
          <c:dPt>
            <c:idx val="201"/>
            <c:marker>
              <c:symbol val="circle"/>
              <c:size val="5"/>
              <c:spPr>
                <a:solidFill>
                  <a:srgbClr val="00FF00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C9-45A9-4C64-A0DB-4944082DB516}"/>
              </c:ext>
            </c:extLst>
          </c:dPt>
          <c:dPt>
            <c:idx val="202"/>
            <c:marker>
              <c:symbol val="circle"/>
              <c:size val="5"/>
              <c:spPr>
                <a:solidFill>
                  <a:srgbClr val="0000FF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CA-45A9-4C64-A0DB-4944082DB516}"/>
              </c:ext>
            </c:extLst>
          </c:dPt>
          <c:dPt>
            <c:idx val="203"/>
            <c:marker>
              <c:symbol val="circle"/>
              <c:size val="5"/>
              <c:spPr>
                <a:solidFill>
                  <a:srgbClr val="0000FF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CB-45A9-4C64-A0DB-4944082DB516}"/>
              </c:ext>
            </c:extLst>
          </c:dPt>
          <c:dPt>
            <c:idx val="204"/>
            <c:marker>
              <c:symbol val="circle"/>
              <c:size val="5"/>
              <c:spPr>
                <a:solidFill>
                  <a:srgbClr val="0000FF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CC-45A9-4C64-A0DB-4944082DB516}"/>
              </c:ext>
            </c:extLst>
          </c:dPt>
          <c:dPt>
            <c:idx val="205"/>
            <c:marker>
              <c:symbol val="circle"/>
              <c:size val="5"/>
              <c:spPr>
                <a:solidFill>
                  <a:srgbClr val="0000FF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CD-45A9-4C64-A0DB-4944082DB516}"/>
              </c:ext>
            </c:extLst>
          </c:dPt>
          <c:dPt>
            <c:idx val="206"/>
            <c:marker>
              <c:symbol val="circle"/>
              <c:size val="5"/>
              <c:spPr>
                <a:solidFill>
                  <a:srgbClr val="0000FF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CE-45A9-4C64-A0DB-4944082DB516}"/>
              </c:ext>
            </c:extLst>
          </c:dPt>
          <c:dPt>
            <c:idx val="207"/>
            <c:marker>
              <c:symbol val="circle"/>
              <c:size val="5"/>
              <c:spPr>
                <a:solidFill>
                  <a:srgbClr val="0000FF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CF-45A9-4C64-A0DB-4944082DB516}"/>
              </c:ext>
            </c:extLst>
          </c:dPt>
          <c:dPt>
            <c:idx val="208"/>
            <c:marker>
              <c:symbol val="circle"/>
              <c:size val="5"/>
              <c:spPr>
                <a:solidFill>
                  <a:srgbClr val="FFFF00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D0-45A9-4C64-A0DB-4944082DB516}"/>
              </c:ext>
            </c:extLst>
          </c:dPt>
          <c:dPt>
            <c:idx val="209"/>
            <c:marker>
              <c:symbol val="circle"/>
              <c:size val="5"/>
              <c:spPr>
                <a:solidFill>
                  <a:srgbClr val="FFFF00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D1-45A9-4C64-A0DB-4944082DB516}"/>
              </c:ext>
            </c:extLst>
          </c:dPt>
          <c:dPt>
            <c:idx val="210"/>
            <c:marker>
              <c:symbol val="circle"/>
              <c:size val="5"/>
              <c:spPr>
                <a:solidFill>
                  <a:srgbClr val="FFFF00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D2-45A9-4C64-A0DB-4944082DB516}"/>
              </c:ext>
            </c:extLst>
          </c:dPt>
          <c:dPt>
            <c:idx val="211"/>
            <c:marker>
              <c:symbol val="circle"/>
              <c:size val="5"/>
              <c:spPr>
                <a:solidFill>
                  <a:srgbClr val="FFFF00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D3-45A9-4C64-A0DB-4944082DB516}"/>
              </c:ext>
            </c:extLst>
          </c:dPt>
          <c:dPt>
            <c:idx val="212"/>
            <c:marker>
              <c:symbol val="circle"/>
              <c:size val="5"/>
              <c:spPr>
                <a:solidFill>
                  <a:srgbClr val="FFFF00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D4-45A9-4C64-A0DB-4944082DB516}"/>
              </c:ext>
            </c:extLst>
          </c:dPt>
          <c:dPt>
            <c:idx val="213"/>
            <c:marker>
              <c:symbol val="circle"/>
              <c:size val="5"/>
              <c:spPr>
                <a:solidFill>
                  <a:srgbClr val="FFFF00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D5-45A9-4C64-A0DB-4944082DB516}"/>
              </c:ext>
            </c:extLst>
          </c:dPt>
          <c:dPt>
            <c:idx val="214"/>
            <c:marker>
              <c:symbol val="circle"/>
              <c:size val="5"/>
              <c:spPr>
                <a:solidFill>
                  <a:srgbClr val="00FFFF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D6-45A9-4C64-A0DB-4944082DB516}"/>
              </c:ext>
            </c:extLst>
          </c:dPt>
          <c:dPt>
            <c:idx val="215"/>
            <c:marker>
              <c:symbol val="circle"/>
              <c:size val="5"/>
              <c:spPr>
                <a:solidFill>
                  <a:srgbClr val="00FFFF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D7-45A9-4C64-A0DB-4944082DB516}"/>
              </c:ext>
            </c:extLst>
          </c:dPt>
          <c:dPt>
            <c:idx val="216"/>
            <c:marker>
              <c:symbol val="circle"/>
              <c:size val="5"/>
              <c:spPr>
                <a:solidFill>
                  <a:srgbClr val="00FFFF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D8-45A9-4C64-A0DB-4944082DB516}"/>
              </c:ext>
            </c:extLst>
          </c:dPt>
          <c:dPt>
            <c:idx val="217"/>
            <c:marker>
              <c:symbol val="circle"/>
              <c:size val="5"/>
              <c:spPr>
                <a:solidFill>
                  <a:srgbClr val="00FFFF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D9-45A9-4C64-A0DB-4944082DB516}"/>
              </c:ext>
            </c:extLst>
          </c:dPt>
          <c:dPt>
            <c:idx val="218"/>
            <c:marker>
              <c:symbol val="circle"/>
              <c:size val="5"/>
              <c:spPr>
                <a:solidFill>
                  <a:srgbClr val="00FFFF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DA-45A9-4C64-A0DB-4944082DB516}"/>
              </c:ext>
            </c:extLst>
          </c:dPt>
          <c:dPt>
            <c:idx val="219"/>
            <c:marker>
              <c:symbol val="circle"/>
              <c:size val="5"/>
              <c:spPr>
                <a:solidFill>
                  <a:srgbClr val="00FFFF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DB-45A9-4C64-A0DB-4944082DB516}"/>
              </c:ext>
            </c:extLst>
          </c:dPt>
          <c:xVal>
            <c:numRef>
              <c:f>tests!$D$2:$D$221</c:f>
              <c:numCache>
                <c:formatCode>General</c:formatCode>
                <c:ptCount val="220"/>
                <c:pt idx="0">
                  <c:v>3.96</c:v>
                </c:pt>
                <c:pt idx="1">
                  <c:v>4.22</c:v>
                </c:pt>
                <c:pt idx="2">
                  <c:v>3.8</c:v>
                </c:pt>
                <c:pt idx="3">
                  <c:v>4.8099999999999996</c:v>
                </c:pt>
                <c:pt idx="4">
                  <c:v>4.24</c:v>
                </c:pt>
                <c:pt idx="5">
                  <c:v>4.1900000000000004</c:v>
                </c:pt>
                <c:pt idx="6">
                  <c:v>5.05</c:v>
                </c:pt>
                <c:pt idx="7">
                  <c:v>4.9000000000000004</c:v>
                </c:pt>
                <c:pt idx="8">
                  <c:v>5.05</c:v>
                </c:pt>
                <c:pt idx="9">
                  <c:v>4.46</c:v>
                </c:pt>
                <c:pt idx="10">
                  <c:v>4.51</c:v>
                </c:pt>
                <c:pt idx="11">
                  <c:v>3.63</c:v>
                </c:pt>
                <c:pt idx="12">
                  <c:v>3.32</c:v>
                </c:pt>
                <c:pt idx="13">
                  <c:v>3.59</c:v>
                </c:pt>
                <c:pt idx="14">
                  <c:v>4.58</c:v>
                </c:pt>
                <c:pt idx="15">
                  <c:v>3.56</c:v>
                </c:pt>
                <c:pt idx="16">
                  <c:v>4.34</c:v>
                </c:pt>
                <c:pt idx="17">
                  <c:v>4.29</c:v>
                </c:pt>
                <c:pt idx="18">
                  <c:v>5.05</c:v>
                </c:pt>
                <c:pt idx="19">
                  <c:v>2.79</c:v>
                </c:pt>
                <c:pt idx="20">
                  <c:v>2.86</c:v>
                </c:pt>
                <c:pt idx="21">
                  <c:v>1.94</c:v>
                </c:pt>
                <c:pt idx="22">
                  <c:v>1.82</c:v>
                </c:pt>
                <c:pt idx="23">
                  <c:v>3.26</c:v>
                </c:pt>
                <c:pt idx="24">
                  <c:v>2.69</c:v>
                </c:pt>
                <c:pt idx="25">
                  <c:v>4.09</c:v>
                </c:pt>
                <c:pt idx="26">
                  <c:v>3.62</c:v>
                </c:pt>
                <c:pt idx="27">
                  <c:v>3.19</c:v>
                </c:pt>
                <c:pt idx="28">
                  <c:v>3.85</c:v>
                </c:pt>
                <c:pt idx="29">
                  <c:v>4.18</c:v>
                </c:pt>
                <c:pt idx="30">
                  <c:v>4.3899999999999997</c:v>
                </c:pt>
                <c:pt idx="31">
                  <c:v>4.21</c:v>
                </c:pt>
                <c:pt idx="32">
                  <c:v>3.84</c:v>
                </c:pt>
                <c:pt idx="33">
                  <c:v>4.93</c:v>
                </c:pt>
                <c:pt idx="34">
                  <c:v>4.26</c:v>
                </c:pt>
                <c:pt idx="35">
                  <c:v>3.96</c:v>
                </c:pt>
                <c:pt idx="36">
                  <c:v>4.3099999999999996</c:v>
                </c:pt>
                <c:pt idx="37">
                  <c:v>5.43</c:v>
                </c:pt>
                <c:pt idx="38">
                  <c:v>5.2</c:v>
                </c:pt>
                <c:pt idx="39">
                  <c:v>5.33</c:v>
                </c:pt>
                <c:pt idx="40">
                  <c:v>4.34</c:v>
                </c:pt>
                <c:pt idx="41">
                  <c:v>4.18</c:v>
                </c:pt>
                <c:pt idx="42">
                  <c:v>4.12</c:v>
                </c:pt>
                <c:pt idx="43">
                  <c:v>5.89</c:v>
                </c:pt>
                <c:pt idx="44">
                  <c:v>5.26</c:v>
                </c:pt>
                <c:pt idx="45">
                  <c:v>3.87</c:v>
                </c:pt>
                <c:pt idx="46">
                  <c:v>4.5999999999999996</c:v>
                </c:pt>
                <c:pt idx="47">
                  <c:v>4.5999999999999996</c:v>
                </c:pt>
                <c:pt idx="48">
                  <c:v>5.48</c:v>
                </c:pt>
                <c:pt idx="49">
                  <c:v>4.95</c:v>
                </c:pt>
                <c:pt idx="50">
                  <c:v>5.61</c:v>
                </c:pt>
                <c:pt idx="51">
                  <c:v>4.74</c:v>
                </c:pt>
                <c:pt idx="52">
                  <c:v>4.47</c:v>
                </c:pt>
                <c:pt idx="53">
                  <c:v>3.98</c:v>
                </c:pt>
                <c:pt idx="54">
                  <c:v>4.12</c:v>
                </c:pt>
                <c:pt idx="55">
                  <c:v>3.33</c:v>
                </c:pt>
                <c:pt idx="56">
                  <c:v>4.5</c:v>
                </c:pt>
                <c:pt idx="57">
                  <c:v>3.82</c:v>
                </c:pt>
                <c:pt idx="58">
                  <c:v>3.81</c:v>
                </c:pt>
                <c:pt idx="59">
                  <c:v>4.8899999999999997</c:v>
                </c:pt>
                <c:pt idx="60">
                  <c:v>3.43</c:v>
                </c:pt>
                <c:pt idx="61">
                  <c:v>3.7</c:v>
                </c:pt>
                <c:pt idx="62">
                  <c:v>4.1399999999999997</c:v>
                </c:pt>
                <c:pt idx="63">
                  <c:v>4.13</c:v>
                </c:pt>
                <c:pt idx="64">
                  <c:v>3.48</c:v>
                </c:pt>
                <c:pt idx="65">
                  <c:v>3.37</c:v>
                </c:pt>
                <c:pt idx="66">
                  <c:v>1.22</c:v>
                </c:pt>
                <c:pt idx="67">
                  <c:v>2.52</c:v>
                </c:pt>
                <c:pt idx="68">
                  <c:v>3.17</c:v>
                </c:pt>
                <c:pt idx="69">
                  <c:v>5.23</c:v>
                </c:pt>
                <c:pt idx="70">
                  <c:v>3.12</c:v>
                </c:pt>
                <c:pt idx="71">
                  <c:v>3.21</c:v>
                </c:pt>
                <c:pt idx="72">
                  <c:v>3.74</c:v>
                </c:pt>
                <c:pt idx="73">
                  <c:v>2.8</c:v>
                </c:pt>
                <c:pt idx="74">
                  <c:v>4.26</c:v>
                </c:pt>
                <c:pt idx="75">
                  <c:v>4.5</c:v>
                </c:pt>
                <c:pt idx="76">
                  <c:v>3.53</c:v>
                </c:pt>
                <c:pt idx="77">
                  <c:v>3.74</c:v>
                </c:pt>
                <c:pt idx="78">
                  <c:v>4.1500000000000004</c:v>
                </c:pt>
                <c:pt idx="79">
                  <c:v>2.48</c:v>
                </c:pt>
                <c:pt idx="80">
                  <c:v>3.56</c:v>
                </c:pt>
                <c:pt idx="81">
                  <c:v>3.63</c:v>
                </c:pt>
                <c:pt idx="82">
                  <c:v>4.3600000000000003</c:v>
                </c:pt>
                <c:pt idx="83">
                  <c:v>3.88</c:v>
                </c:pt>
                <c:pt idx="84">
                  <c:v>4.3</c:v>
                </c:pt>
                <c:pt idx="85">
                  <c:v>5.97</c:v>
                </c:pt>
                <c:pt idx="86">
                  <c:v>5.36</c:v>
                </c:pt>
                <c:pt idx="87">
                  <c:v>5.98</c:v>
                </c:pt>
                <c:pt idx="88">
                  <c:v>3.28</c:v>
                </c:pt>
                <c:pt idx="89">
                  <c:v>4.88</c:v>
                </c:pt>
                <c:pt idx="90">
                  <c:v>5.64</c:v>
                </c:pt>
                <c:pt idx="91">
                  <c:v>5.13</c:v>
                </c:pt>
                <c:pt idx="92">
                  <c:v>6.05</c:v>
                </c:pt>
                <c:pt idx="93">
                  <c:v>5.19</c:v>
                </c:pt>
                <c:pt idx="94">
                  <c:v>6.47</c:v>
                </c:pt>
                <c:pt idx="95">
                  <c:v>4.87</c:v>
                </c:pt>
                <c:pt idx="96">
                  <c:v>4.93</c:v>
                </c:pt>
                <c:pt idx="97">
                  <c:v>6.47</c:v>
                </c:pt>
                <c:pt idx="98">
                  <c:v>5.75</c:v>
                </c:pt>
                <c:pt idx="99">
                  <c:v>4.92</c:v>
                </c:pt>
                <c:pt idx="100">
                  <c:v>5.26</c:v>
                </c:pt>
                <c:pt idx="101">
                  <c:v>5.26</c:v>
                </c:pt>
                <c:pt idx="102">
                  <c:v>4.7</c:v>
                </c:pt>
                <c:pt idx="103">
                  <c:v>6.59</c:v>
                </c:pt>
                <c:pt idx="104">
                  <c:v>5.82</c:v>
                </c:pt>
                <c:pt idx="105">
                  <c:v>5.39</c:v>
                </c:pt>
                <c:pt idx="106">
                  <c:v>5.92</c:v>
                </c:pt>
                <c:pt idx="107">
                  <c:v>4.76</c:v>
                </c:pt>
                <c:pt idx="108">
                  <c:v>3.73</c:v>
                </c:pt>
                <c:pt idx="109">
                  <c:v>3.61</c:v>
                </c:pt>
                <c:pt idx="110">
                  <c:v>4.67</c:v>
                </c:pt>
                <c:pt idx="111">
                  <c:v>3.77</c:v>
                </c:pt>
                <c:pt idx="112">
                  <c:v>4.75</c:v>
                </c:pt>
                <c:pt idx="113">
                  <c:v>4.3600000000000003</c:v>
                </c:pt>
                <c:pt idx="114">
                  <c:v>4.68</c:v>
                </c:pt>
                <c:pt idx="115">
                  <c:v>4.82</c:v>
                </c:pt>
                <c:pt idx="116">
                  <c:v>4.34</c:v>
                </c:pt>
                <c:pt idx="117">
                  <c:v>5.0199999999999996</c:v>
                </c:pt>
                <c:pt idx="118">
                  <c:v>3.42</c:v>
                </c:pt>
                <c:pt idx="119">
                  <c:v>3.39</c:v>
                </c:pt>
                <c:pt idx="120">
                  <c:v>2.92</c:v>
                </c:pt>
                <c:pt idx="121">
                  <c:v>4.0999999999999996</c:v>
                </c:pt>
                <c:pt idx="122">
                  <c:v>2.37</c:v>
                </c:pt>
                <c:pt idx="123">
                  <c:v>3.31</c:v>
                </c:pt>
                <c:pt idx="124">
                  <c:v>3.73</c:v>
                </c:pt>
                <c:pt idx="125">
                  <c:v>4.9000000000000004</c:v>
                </c:pt>
                <c:pt idx="126">
                  <c:v>3.42</c:v>
                </c:pt>
                <c:pt idx="127">
                  <c:v>1.96</c:v>
                </c:pt>
                <c:pt idx="128">
                  <c:v>4.51</c:v>
                </c:pt>
                <c:pt idx="129">
                  <c:v>4.25</c:v>
                </c:pt>
                <c:pt idx="130">
                  <c:v>4.49</c:v>
                </c:pt>
                <c:pt idx="131">
                  <c:v>5.17</c:v>
                </c:pt>
                <c:pt idx="132">
                  <c:v>4.74</c:v>
                </c:pt>
                <c:pt idx="133">
                  <c:v>3.97</c:v>
                </c:pt>
                <c:pt idx="134">
                  <c:v>5.13</c:v>
                </c:pt>
                <c:pt idx="135">
                  <c:v>3.86</c:v>
                </c:pt>
                <c:pt idx="136">
                  <c:v>4.1399999999999997</c:v>
                </c:pt>
                <c:pt idx="137">
                  <c:v>4.6500000000000004</c:v>
                </c:pt>
                <c:pt idx="138">
                  <c:v>4.32</c:v>
                </c:pt>
                <c:pt idx="139">
                  <c:v>5.15</c:v>
                </c:pt>
                <c:pt idx="140">
                  <c:v>5.27</c:v>
                </c:pt>
                <c:pt idx="141">
                  <c:v>5.23</c:v>
                </c:pt>
                <c:pt idx="142">
                  <c:v>6.48</c:v>
                </c:pt>
                <c:pt idx="143">
                  <c:v>6.42</c:v>
                </c:pt>
                <c:pt idx="144">
                  <c:v>5.74</c:v>
                </c:pt>
                <c:pt idx="145">
                  <c:v>5.68</c:v>
                </c:pt>
                <c:pt idx="146">
                  <c:v>4.87</c:v>
                </c:pt>
                <c:pt idx="147">
                  <c:v>5.87</c:v>
                </c:pt>
                <c:pt idx="148">
                  <c:v>7.4</c:v>
                </c:pt>
                <c:pt idx="149">
                  <c:v>6.47</c:v>
                </c:pt>
                <c:pt idx="150">
                  <c:v>6.51</c:v>
                </c:pt>
                <c:pt idx="151">
                  <c:v>6.18</c:v>
                </c:pt>
                <c:pt idx="152">
                  <c:v>6.05</c:v>
                </c:pt>
                <c:pt idx="153">
                  <c:v>6.04</c:v>
                </c:pt>
                <c:pt idx="154">
                  <c:v>6.63</c:v>
                </c:pt>
                <c:pt idx="155">
                  <c:v>5.35</c:v>
                </c:pt>
                <c:pt idx="156">
                  <c:v>5.69</c:v>
                </c:pt>
                <c:pt idx="157">
                  <c:v>5.63</c:v>
                </c:pt>
                <c:pt idx="158">
                  <c:v>5.57</c:v>
                </c:pt>
                <c:pt idx="159">
                  <c:v>4.9800000000000004</c:v>
                </c:pt>
                <c:pt idx="160">
                  <c:v>5.0199999999999996</c:v>
                </c:pt>
                <c:pt idx="161">
                  <c:v>4.9400000000000004</c:v>
                </c:pt>
                <c:pt idx="162">
                  <c:v>5.13</c:v>
                </c:pt>
                <c:pt idx="163">
                  <c:v>5.08</c:v>
                </c:pt>
                <c:pt idx="164">
                  <c:v>4.17</c:v>
                </c:pt>
                <c:pt idx="165">
                  <c:v>4.34</c:v>
                </c:pt>
                <c:pt idx="166">
                  <c:v>4.9400000000000004</c:v>
                </c:pt>
                <c:pt idx="167">
                  <c:v>5.42</c:v>
                </c:pt>
                <c:pt idx="168">
                  <c:v>4.91</c:v>
                </c:pt>
                <c:pt idx="169">
                  <c:v>5.46</c:v>
                </c:pt>
                <c:pt idx="170">
                  <c:v>4.54</c:v>
                </c:pt>
                <c:pt idx="171">
                  <c:v>3.43</c:v>
                </c:pt>
                <c:pt idx="172">
                  <c:v>4.91</c:v>
                </c:pt>
                <c:pt idx="173">
                  <c:v>3.52</c:v>
                </c:pt>
                <c:pt idx="174">
                  <c:v>2.85</c:v>
                </c:pt>
                <c:pt idx="175">
                  <c:v>3.63</c:v>
                </c:pt>
                <c:pt idx="176">
                  <c:v>4.51</c:v>
                </c:pt>
                <c:pt idx="177">
                  <c:v>3.76</c:v>
                </c:pt>
                <c:pt idx="178">
                  <c:v>4.46</c:v>
                </c:pt>
                <c:pt idx="179">
                  <c:v>1.97</c:v>
                </c:pt>
                <c:pt idx="180">
                  <c:v>6.09</c:v>
                </c:pt>
                <c:pt idx="181">
                  <c:v>5.57</c:v>
                </c:pt>
                <c:pt idx="182">
                  <c:v>5.59</c:v>
                </c:pt>
                <c:pt idx="183">
                  <c:v>5.4</c:v>
                </c:pt>
                <c:pt idx="184">
                  <c:v>4.66</c:v>
                </c:pt>
                <c:pt idx="185">
                  <c:v>4.51</c:v>
                </c:pt>
                <c:pt idx="186">
                  <c:v>3.98</c:v>
                </c:pt>
                <c:pt idx="187">
                  <c:v>4.46</c:v>
                </c:pt>
                <c:pt idx="188">
                  <c:v>6.03</c:v>
                </c:pt>
                <c:pt idx="189">
                  <c:v>5.25</c:v>
                </c:pt>
                <c:pt idx="190">
                  <c:v>6.74</c:v>
                </c:pt>
                <c:pt idx="191">
                  <c:v>7.65</c:v>
                </c:pt>
                <c:pt idx="192">
                  <c:v>5.97</c:v>
                </c:pt>
                <c:pt idx="193">
                  <c:v>6.53</c:v>
                </c:pt>
                <c:pt idx="194">
                  <c:v>6.62</c:v>
                </c:pt>
                <c:pt idx="195">
                  <c:v>6.86</c:v>
                </c:pt>
                <c:pt idx="196">
                  <c:v>6.18</c:v>
                </c:pt>
                <c:pt idx="197">
                  <c:v>5.84</c:v>
                </c:pt>
                <c:pt idx="198">
                  <c:v>5.07</c:v>
                </c:pt>
                <c:pt idx="199">
                  <c:v>6.35</c:v>
                </c:pt>
                <c:pt idx="200">
                  <c:v>5.97</c:v>
                </c:pt>
                <c:pt idx="201">
                  <c:v>6.08</c:v>
                </c:pt>
                <c:pt idx="202">
                  <c:v>5.33</c:v>
                </c:pt>
                <c:pt idx="203">
                  <c:v>4.93</c:v>
                </c:pt>
                <c:pt idx="204">
                  <c:v>4.16</c:v>
                </c:pt>
                <c:pt idx="205">
                  <c:v>5.83</c:v>
                </c:pt>
                <c:pt idx="206">
                  <c:v>5.0599999999999996</c:v>
                </c:pt>
                <c:pt idx="207">
                  <c:v>4.62</c:v>
                </c:pt>
                <c:pt idx="208">
                  <c:v>4.22</c:v>
                </c:pt>
                <c:pt idx="209">
                  <c:v>5.18</c:v>
                </c:pt>
                <c:pt idx="210">
                  <c:v>5.31</c:v>
                </c:pt>
                <c:pt idx="211">
                  <c:v>5.16</c:v>
                </c:pt>
                <c:pt idx="212">
                  <c:v>3.79</c:v>
                </c:pt>
                <c:pt idx="213">
                  <c:v>5.0599999999999996</c:v>
                </c:pt>
                <c:pt idx="214">
                  <c:v>4.53</c:v>
                </c:pt>
                <c:pt idx="215">
                  <c:v>5.34</c:v>
                </c:pt>
                <c:pt idx="216">
                  <c:v>6.02</c:v>
                </c:pt>
                <c:pt idx="217">
                  <c:v>4.7</c:v>
                </c:pt>
                <c:pt idx="218">
                  <c:v>6.53</c:v>
                </c:pt>
                <c:pt idx="219">
                  <c:v>5.79</c:v>
                </c:pt>
              </c:numCache>
            </c:numRef>
          </c:xVal>
          <c:yVal>
            <c:numRef>
              <c:f>tests!$E$2:$E$221</c:f>
              <c:numCache>
                <c:formatCode>General</c:formatCode>
                <c:ptCount val="220"/>
                <c:pt idx="0">
                  <c:v>56.6</c:v>
                </c:pt>
                <c:pt idx="1">
                  <c:v>61.9</c:v>
                </c:pt>
                <c:pt idx="2">
                  <c:v>81.8</c:v>
                </c:pt>
                <c:pt idx="3">
                  <c:v>65.2</c:v>
                </c:pt>
                <c:pt idx="4">
                  <c:v>80.3</c:v>
                </c:pt>
                <c:pt idx="5">
                  <c:v>57.6</c:v>
                </c:pt>
                <c:pt idx="6">
                  <c:v>73.900000000000006</c:v>
                </c:pt>
                <c:pt idx="7">
                  <c:v>68.900000000000006</c:v>
                </c:pt>
                <c:pt idx="8">
                  <c:v>76</c:v>
                </c:pt>
                <c:pt idx="9">
                  <c:v>81.3</c:v>
                </c:pt>
                <c:pt idx="10">
                  <c:v>83.3</c:v>
                </c:pt>
                <c:pt idx="11">
                  <c:v>70.8</c:v>
                </c:pt>
                <c:pt idx="12">
                  <c:v>74.8</c:v>
                </c:pt>
                <c:pt idx="13">
                  <c:v>77.7</c:v>
                </c:pt>
                <c:pt idx="14">
                  <c:v>76.3</c:v>
                </c:pt>
                <c:pt idx="15">
                  <c:v>61</c:v>
                </c:pt>
                <c:pt idx="16">
                  <c:v>61.4</c:v>
                </c:pt>
                <c:pt idx="17">
                  <c:v>67.099999999999994</c:v>
                </c:pt>
                <c:pt idx="18">
                  <c:v>64.8</c:v>
                </c:pt>
                <c:pt idx="19">
                  <c:v>84.3</c:v>
                </c:pt>
                <c:pt idx="20">
                  <c:v>66.8</c:v>
                </c:pt>
                <c:pt idx="21">
                  <c:v>83.3</c:v>
                </c:pt>
                <c:pt idx="22">
                  <c:v>90.4</c:v>
                </c:pt>
                <c:pt idx="23">
                  <c:v>62.4</c:v>
                </c:pt>
                <c:pt idx="24">
                  <c:v>68.2</c:v>
                </c:pt>
                <c:pt idx="25">
                  <c:v>70.7</c:v>
                </c:pt>
                <c:pt idx="26">
                  <c:v>88.4</c:v>
                </c:pt>
                <c:pt idx="27">
                  <c:v>81.3</c:v>
                </c:pt>
                <c:pt idx="28">
                  <c:v>64.400000000000006</c:v>
                </c:pt>
                <c:pt idx="29">
                  <c:v>67.5</c:v>
                </c:pt>
                <c:pt idx="30">
                  <c:v>68.099999999999994</c:v>
                </c:pt>
                <c:pt idx="31">
                  <c:v>67.7</c:v>
                </c:pt>
                <c:pt idx="32">
                  <c:v>82.7</c:v>
                </c:pt>
                <c:pt idx="33">
                  <c:v>70.900000000000006</c:v>
                </c:pt>
                <c:pt idx="34">
                  <c:v>83.4</c:v>
                </c:pt>
                <c:pt idx="35">
                  <c:v>72</c:v>
                </c:pt>
                <c:pt idx="36">
                  <c:v>68.8</c:v>
                </c:pt>
                <c:pt idx="37">
                  <c:v>78.2</c:v>
                </c:pt>
                <c:pt idx="38">
                  <c:v>78</c:v>
                </c:pt>
                <c:pt idx="39">
                  <c:v>73.900000000000006</c:v>
                </c:pt>
                <c:pt idx="40">
                  <c:v>62.2</c:v>
                </c:pt>
                <c:pt idx="41">
                  <c:v>70.7</c:v>
                </c:pt>
                <c:pt idx="42">
                  <c:v>83.8</c:v>
                </c:pt>
                <c:pt idx="43">
                  <c:v>67</c:v>
                </c:pt>
                <c:pt idx="44">
                  <c:v>86.7</c:v>
                </c:pt>
                <c:pt idx="45">
                  <c:v>84.5</c:v>
                </c:pt>
                <c:pt idx="46">
                  <c:v>69.099999999999994</c:v>
                </c:pt>
                <c:pt idx="47">
                  <c:v>76.8</c:v>
                </c:pt>
                <c:pt idx="48">
                  <c:v>83.4</c:v>
                </c:pt>
                <c:pt idx="49">
                  <c:v>89.5</c:v>
                </c:pt>
                <c:pt idx="50">
                  <c:v>87</c:v>
                </c:pt>
                <c:pt idx="51">
                  <c:v>80.400000000000006</c:v>
                </c:pt>
                <c:pt idx="52">
                  <c:v>81.599999999999994</c:v>
                </c:pt>
                <c:pt idx="53">
                  <c:v>75.900000000000006</c:v>
                </c:pt>
                <c:pt idx="54">
                  <c:v>71.400000000000006</c:v>
                </c:pt>
                <c:pt idx="55">
                  <c:v>80.3</c:v>
                </c:pt>
                <c:pt idx="56">
                  <c:v>68.099999999999994</c:v>
                </c:pt>
                <c:pt idx="57">
                  <c:v>69.2</c:v>
                </c:pt>
                <c:pt idx="58">
                  <c:v>55.1</c:v>
                </c:pt>
                <c:pt idx="59">
                  <c:v>85.7</c:v>
                </c:pt>
                <c:pt idx="60">
                  <c:v>79.8</c:v>
                </c:pt>
                <c:pt idx="61">
                  <c:v>73.900000000000006</c:v>
                </c:pt>
                <c:pt idx="62">
                  <c:v>70.7</c:v>
                </c:pt>
                <c:pt idx="63">
                  <c:v>78.8</c:v>
                </c:pt>
                <c:pt idx="64">
                  <c:v>79.5</c:v>
                </c:pt>
                <c:pt idx="65">
                  <c:v>79.7</c:v>
                </c:pt>
                <c:pt idx="66">
                  <c:v>83</c:v>
                </c:pt>
                <c:pt idx="67">
                  <c:v>66.400000000000006</c:v>
                </c:pt>
                <c:pt idx="68">
                  <c:v>81.099999999999994</c:v>
                </c:pt>
                <c:pt idx="69">
                  <c:v>76.099999999999994</c:v>
                </c:pt>
                <c:pt idx="70">
                  <c:v>86.1</c:v>
                </c:pt>
                <c:pt idx="71">
                  <c:v>85.3</c:v>
                </c:pt>
                <c:pt idx="72">
                  <c:v>64.3</c:v>
                </c:pt>
                <c:pt idx="73">
                  <c:v>75.599999999999994</c:v>
                </c:pt>
                <c:pt idx="74">
                  <c:v>87.7</c:v>
                </c:pt>
                <c:pt idx="75">
                  <c:v>94.7</c:v>
                </c:pt>
                <c:pt idx="76">
                  <c:v>91.8</c:v>
                </c:pt>
                <c:pt idx="77">
                  <c:v>80.2</c:v>
                </c:pt>
                <c:pt idx="78">
                  <c:v>85.9</c:v>
                </c:pt>
                <c:pt idx="79">
                  <c:v>92.7</c:v>
                </c:pt>
                <c:pt idx="80">
                  <c:v>93.5</c:v>
                </c:pt>
                <c:pt idx="81">
                  <c:v>88</c:v>
                </c:pt>
                <c:pt idx="82">
                  <c:v>93.9</c:v>
                </c:pt>
                <c:pt idx="83">
                  <c:v>99.1</c:v>
                </c:pt>
                <c:pt idx="84">
                  <c:v>95.6</c:v>
                </c:pt>
                <c:pt idx="85">
                  <c:v>66.8</c:v>
                </c:pt>
                <c:pt idx="86">
                  <c:v>81.8</c:v>
                </c:pt>
                <c:pt idx="87">
                  <c:v>84.1</c:v>
                </c:pt>
                <c:pt idx="88">
                  <c:v>71.599999999999994</c:v>
                </c:pt>
                <c:pt idx="89">
                  <c:v>91.1</c:v>
                </c:pt>
                <c:pt idx="90">
                  <c:v>74.599999999999994</c:v>
                </c:pt>
                <c:pt idx="91">
                  <c:v>86.5</c:v>
                </c:pt>
                <c:pt idx="92">
                  <c:v>68.900000000000006</c:v>
                </c:pt>
                <c:pt idx="93">
                  <c:v>85.7</c:v>
                </c:pt>
                <c:pt idx="94">
                  <c:v>98</c:v>
                </c:pt>
                <c:pt idx="95">
                  <c:v>82.6</c:v>
                </c:pt>
                <c:pt idx="96">
                  <c:v>83.5</c:v>
                </c:pt>
                <c:pt idx="97">
                  <c:v>93.1</c:v>
                </c:pt>
                <c:pt idx="98">
                  <c:v>81.099999999999994</c:v>
                </c:pt>
                <c:pt idx="99">
                  <c:v>89.2</c:v>
                </c:pt>
                <c:pt idx="100">
                  <c:v>82.7</c:v>
                </c:pt>
                <c:pt idx="101">
                  <c:v>94</c:v>
                </c:pt>
                <c:pt idx="102">
                  <c:v>80.7</c:v>
                </c:pt>
                <c:pt idx="103">
                  <c:v>100</c:v>
                </c:pt>
                <c:pt idx="104">
                  <c:v>91.2</c:v>
                </c:pt>
                <c:pt idx="105">
                  <c:v>97.6</c:v>
                </c:pt>
                <c:pt idx="106">
                  <c:v>90</c:v>
                </c:pt>
                <c:pt idx="107">
                  <c:v>88.3</c:v>
                </c:pt>
                <c:pt idx="108">
                  <c:v>75.599999999999994</c:v>
                </c:pt>
                <c:pt idx="109">
                  <c:v>78.2</c:v>
                </c:pt>
                <c:pt idx="110">
                  <c:v>79.400000000000006</c:v>
                </c:pt>
                <c:pt idx="111">
                  <c:v>84.3</c:v>
                </c:pt>
                <c:pt idx="112">
                  <c:v>82</c:v>
                </c:pt>
                <c:pt idx="113">
                  <c:v>93.3</c:v>
                </c:pt>
                <c:pt idx="114">
                  <c:v>78</c:v>
                </c:pt>
                <c:pt idx="115">
                  <c:v>78.8</c:v>
                </c:pt>
                <c:pt idx="116">
                  <c:v>78.099999999999994</c:v>
                </c:pt>
                <c:pt idx="117">
                  <c:v>82.9</c:v>
                </c:pt>
                <c:pt idx="118">
                  <c:v>76.400000000000006</c:v>
                </c:pt>
                <c:pt idx="119">
                  <c:v>86</c:v>
                </c:pt>
                <c:pt idx="120">
                  <c:v>96.9</c:v>
                </c:pt>
                <c:pt idx="121">
                  <c:v>92.2</c:v>
                </c:pt>
                <c:pt idx="122">
                  <c:v>83.7</c:v>
                </c:pt>
                <c:pt idx="123">
                  <c:v>86.4</c:v>
                </c:pt>
                <c:pt idx="124">
                  <c:v>87.2</c:v>
                </c:pt>
                <c:pt idx="125">
                  <c:v>82.1</c:v>
                </c:pt>
                <c:pt idx="126">
                  <c:v>82.5</c:v>
                </c:pt>
                <c:pt idx="127">
                  <c:v>94.6</c:v>
                </c:pt>
                <c:pt idx="128">
                  <c:v>82.7</c:v>
                </c:pt>
                <c:pt idx="129">
                  <c:v>83.5</c:v>
                </c:pt>
                <c:pt idx="130">
                  <c:v>94.2</c:v>
                </c:pt>
                <c:pt idx="131">
                  <c:v>80.7</c:v>
                </c:pt>
                <c:pt idx="132">
                  <c:v>100</c:v>
                </c:pt>
                <c:pt idx="133">
                  <c:v>86.9</c:v>
                </c:pt>
                <c:pt idx="134">
                  <c:v>89</c:v>
                </c:pt>
                <c:pt idx="135">
                  <c:v>90</c:v>
                </c:pt>
                <c:pt idx="136">
                  <c:v>100</c:v>
                </c:pt>
                <c:pt idx="137">
                  <c:v>98.9</c:v>
                </c:pt>
                <c:pt idx="138">
                  <c:v>97.1</c:v>
                </c:pt>
                <c:pt idx="139">
                  <c:v>89.3</c:v>
                </c:pt>
                <c:pt idx="140">
                  <c:v>72.8</c:v>
                </c:pt>
                <c:pt idx="141">
                  <c:v>98.3</c:v>
                </c:pt>
                <c:pt idx="142">
                  <c:v>87.6</c:v>
                </c:pt>
                <c:pt idx="143">
                  <c:v>96.2</c:v>
                </c:pt>
                <c:pt idx="144">
                  <c:v>71.8</c:v>
                </c:pt>
                <c:pt idx="145">
                  <c:v>98.3</c:v>
                </c:pt>
                <c:pt idx="146">
                  <c:v>87.8</c:v>
                </c:pt>
                <c:pt idx="147">
                  <c:v>82.1</c:v>
                </c:pt>
                <c:pt idx="148">
                  <c:v>88.4</c:v>
                </c:pt>
                <c:pt idx="149">
                  <c:v>84.7</c:v>
                </c:pt>
                <c:pt idx="150">
                  <c:v>88.6</c:v>
                </c:pt>
                <c:pt idx="151">
                  <c:v>84.6</c:v>
                </c:pt>
                <c:pt idx="152">
                  <c:v>89.3</c:v>
                </c:pt>
                <c:pt idx="153">
                  <c:v>100</c:v>
                </c:pt>
                <c:pt idx="154">
                  <c:v>87.1</c:v>
                </c:pt>
                <c:pt idx="155">
                  <c:v>93.6</c:v>
                </c:pt>
                <c:pt idx="156">
                  <c:v>97.2</c:v>
                </c:pt>
                <c:pt idx="157">
                  <c:v>100</c:v>
                </c:pt>
                <c:pt idx="158">
                  <c:v>78.599999999999994</c:v>
                </c:pt>
                <c:pt idx="159">
                  <c:v>97.2</c:v>
                </c:pt>
                <c:pt idx="160">
                  <c:v>90.4</c:v>
                </c:pt>
                <c:pt idx="161">
                  <c:v>89</c:v>
                </c:pt>
                <c:pt idx="162">
                  <c:v>78.5</c:v>
                </c:pt>
                <c:pt idx="163">
                  <c:v>76.7</c:v>
                </c:pt>
                <c:pt idx="164">
                  <c:v>80.8</c:v>
                </c:pt>
                <c:pt idx="165">
                  <c:v>80.400000000000006</c:v>
                </c:pt>
                <c:pt idx="166">
                  <c:v>89.7</c:v>
                </c:pt>
                <c:pt idx="167">
                  <c:v>75.599999999999994</c:v>
                </c:pt>
                <c:pt idx="168">
                  <c:v>87.2</c:v>
                </c:pt>
                <c:pt idx="169">
                  <c:v>82.2</c:v>
                </c:pt>
                <c:pt idx="170">
                  <c:v>92.7</c:v>
                </c:pt>
                <c:pt idx="171">
                  <c:v>90.9</c:v>
                </c:pt>
                <c:pt idx="172">
                  <c:v>81.7</c:v>
                </c:pt>
                <c:pt idx="173">
                  <c:v>87.8</c:v>
                </c:pt>
                <c:pt idx="174">
                  <c:v>87.3</c:v>
                </c:pt>
                <c:pt idx="175">
                  <c:v>88.5</c:v>
                </c:pt>
                <c:pt idx="176">
                  <c:v>87.7</c:v>
                </c:pt>
                <c:pt idx="177">
                  <c:v>88.7</c:v>
                </c:pt>
                <c:pt idx="178">
                  <c:v>91.2</c:v>
                </c:pt>
                <c:pt idx="179">
                  <c:v>81.099999999999994</c:v>
                </c:pt>
                <c:pt idx="180">
                  <c:v>100</c:v>
                </c:pt>
                <c:pt idx="181">
                  <c:v>92.5</c:v>
                </c:pt>
                <c:pt idx="182">
                  <c:v>100</c:v>
                </c:pt>
                <c:pt idx="183">
                  <c:v>100</c:v>
                </c:pt>
                <c:pt idx="184">
                  <c:v>100</c:v>
                </c:pt>
                <c:pt idx="185">
                  <c:v>100</c:v>
                </c:pt>
                <c:pt idx="186">
                  <c:v>100</c:v>
                </c:pt>
                <c:pt idx="187">
                  <c:v>100</c:v>
                </c:pt>
                <c:pt idx="188">
                  <c:v>100</c:v>
                </c:pt>
                <c:pt idx="189">
                  <c:v>92.7</c:v>
                </c:pt>
                <c:pt idx="190">
                  <c:v>100</c:v>
                </c:pt>
                <c:pt idx="191">
                  <c:v>89.5</c:v>
                </c:pt>
                <c:pt idx="192">
                  <c:v>100</c:v>
                </c:pt>
                <c:pt idx="193">
                  <c:v>94.8</c:v>
                </c:pt>
                <c:pt idx="194">
                  <c:v>84.1</c:v>
                </c:pt>
                <c:pt idx="195">
                  <c:v>85.1</c:v>
                </c:pt>
                <c:pt idx="196">
                  <c:v>100</c:v>
                </c:pt>
                <c:pt idx="197">
                  <c:v>100</c:v>
                </c:pt>
                <c:pt idx="198">
                  <c:v>95.7</c:v>
                </c:pt>
                <c:pt idx="199">
                  <c:v>100</c:v>
                </c:pt>
                <c:pt idx="200">
                  <c:v>86.9</c:v>
                </c:pt>
                <c:pt idx="201">
                  <c:v>100</c:v>
                </c:pt>
                <c:pt idx="202">
                  <c:v>81.8</c:v>
                </c:pt>
                <c:pt idx="203">
                  <c:v>90.5</c:v>
                </c:pt>
                <c:pt idx="204">
                  <c:v>100</c:v>
                </c:pt>
                <c:pt idx="205">
                  <c:v>97.7</c:v>
                </c:pt>
                <c:pt idx="206">
                  <c:v>100</c:v>
                </c:pt>
                <c:pt idx="207">
                  <c:v>88.8</c:v>
                </c:pt>
                <c:pt idx="208">
                  <c:v>91.4</c:v>
                </c:pt>
                <c:pt idx="209">
                  <c:v>98</c:v>
                </c:pt>
                <c:pt idx="210">
                  <c:v>90.3</c:v>
                </c:pt>
                <c:pt idx="211">
                  <c:v>92.6</c:v>
                </c:pt>
                <c:pt idx="212">
                  <c:v>87.3</c:v>
                </c:pt>
                <c:pt idx="213">
                  <c:v>97.9</c:v>
                </c:pt>
                <c:pt idx="214">
                  <c:v>100</c:v>
                </c:pt>
                <c:pt idx="215">
                  <c:v>100</c:v>
                </c:pt>
                <c:pt idx="216">
                  <c:v>100</c:v>
                </c:pt>
                <c:pt idx="217">
                  <c:v>97.6</c:v>
                </c:pt>
                <c:pt idx="218">
                  <c:v>100</c:v>
                </c:pt>
                <c:pt idx="219">
                  <c:v>100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DC-45A9-4C64-A0DB-4944082DB51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26786831"/>
        <c:axId val="1126781551"/>
      </c:scatterChart>
      <c:valAx>
        <c:axId val="112678683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hu-HU"/>
          </a:p>
        </c:txPr>
        <c:crossAx val="1126781551"/>
        <c:crosses val="autoZero"/>
        <c:crossBetween val="midCat"/>
      </c:valAx>
      <c:valAx>
        <c:axId val="1126781551"/>
        <c:scaling>
          <c:orientation val="minMax"/>
          <c:max val="100"/>
          <c:min val="5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&quot; %&quot;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hu-HU"/>
          </a:p>
        </c:txPr>
        <c:crossAx val="112678683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39778701884787532"/>
          <c:y val="0.91966363217384361"/>
          <c:w val="0.20852367720976808"/>
          <c:h val="4.265520649474210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hu-HU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hu-HU"/>
    </a:p>
  </c:txPr>
  <c:userShapes r:id="rId3"/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hu-H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hu-HU"/>
              <a:t>Tests with 1 bug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hu-HU"/>
        </a:p>
      </c:txPr>
    </c:title>
    <c:autoTitleDeleted val="0"/>
    <c:plotArea>
      <c:layout>
        <c:manualLayout>
          <c:layoutTarget val="inner"/>
          <c:xMode val="edge"/>
          <c:yMode val="edge"/>
          <c:x val="9.2584533246177714E-2"/>
          <c:y val="8.2011782936747421E-2"/>
          <c:w val="0.88452450067711252"/>
          <c:h val="0.77742691996510715"/>
        </c:manualLayout>
      </c:layout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rgbClr val="FF0000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0-3789-416F-82C9-1E5B25BD25F3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rgbClr val="FF0000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3789-416F-82C9-1E5B25BD25F3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rgbClr val="FF0000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2-3789-416F-82C9-1E5B25BD25F3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rgbClr val="FF0000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3-3789-416F-82C9-1E5B25BD25F3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rgbClr val="FF0000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4-3789-416F-82C9-1E5B25BD25F3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rgbClr val="FF0000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5-3789-416F-82C9-1E5B25BD25F3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rgbClr val="00FF00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6-3789-416F-82C9-1E5B25BD25F3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rgbClr val="00FF00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7-3789-416F-82C9-1E5B25BD25F3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rgbClr val="00FF00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8-3789-416F-82C9-1E5B25BD25F3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rgbClr val="00FF00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9-3789-416F-82C9-1E5B25BD25F3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rgbClr val="00FF00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A-3789-416F-82C9-1E5B25BD25F3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rgbClr val="00FF00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B-3789-416F-82C9-1E5B25BD25F3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rgbClr val="0000FF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C-3789-416F-82C9-1E5B25BD25F3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rgbClr val="0000FF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D-3789-416F-82C9-1E5B25BD25F3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rgbClr val="0000FF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E-3789-416F-82C9-1E5B25BD25F3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rgbClr val="0000FF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F-3789-416F-82C9-1E5B25BD25F3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rgbClr val="0000FF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10-3789-416F-82C9-1E5B25BD25F3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rgbClr val="0000FF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11-3789-416F-82C9-1E5B25BD25F3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rgbClr val="FFFF00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12-3789-416F-82C9-1E5B25BD25F3}"/>
              </c:ext>
            </c:extLst>
          </c:dPt>
          <c:dPt>
            <c:idx val="19"/>
            <c:marker>
              <c:symbol val="circle"/>
              <c:size val="5"/>
              <c:spPr>
                <a:solidFill>
                  <a:srgbClr val="FFFF00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13-3789-416F-82C9-1E5B25BD25F3}"/>
              </c:ext>
            </c:extLst>
          </c:dPt>
          <c:dPt>
            <c:idx val="20"/>
            <c:marker>
              <c:symbol val="circle"/>
              <c:size val="5"/>
              <c:spPr>
                <a:solidFill>
                  <a:srgbClr val="FFFF00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14-3789-416F-82C9-1E5B25BD25F3}"/>
              </c:ext>
            </c:extLst>
          </c:dPt>
          <c:dPt>
            <c:idx val="21"/>
            <c:marker>
              <c:symbol val="circle"/>
              <c:size val="5"/>
              <c:spPr>
                <a:solidFill>
                  <a:srgbClr val="FFFF00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15-3789-416F-82C9-1E5B25BD25F3}"/>
              </c:ext>
            </c:extLst>
          </c:dPt>
          <c:dPt>
            <c:idx val="22"/>
            <c:marker>
              <c:symbol val="circle"/>
              <c:size val="5"/>
              <c:spPr>
                <a:solidFill>
                  <a:srgbClr val="FFFF00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16-3789-416F-82C9-1E5B25BD25F3}"/>
              </c:ext>
            </c:extLst>
          </c:dPt>
          <c:dPt>
            <c:idx val="23"/>
            <c:marker>
              <c:symbol val="circle"/>
              <c:size val="5"/>
              <c:spPr>
                <a:solidFill>
                  <a:srgbClr val="FFFF00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17-3789-416F-82C9-1E5B25BD25F3}"/>
              </c:ext>
            </c:extLst>
          </c:dPt>
          <c:dPt>
            <c:idx val="24"/>
            <c:marker>
              <c:symbol val="circle"/>
              <c:size val="5"/>
              <c:spPr>
                <a:solidFill>
                  <a:srgbClr val="00FFFF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18-3789-416F-82C9-1E5B25BD25F3}"/>
              </c:ext>
            </c:extLst>
          </c:dPt>
          <c:dPt>
            <c:idx val="25"/>
            <c:marker>
              <c:symbol val="circle"/>
              <c:size val="5"/>
              <c:spPr>
                <a:solidFill>
                  <a:srgbClr val="00FFFF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19-3789-416F-82C9-1E5B25BD25F3}"/>
              </c:ext>
            </c:extLst>
          </c:dPt>
          <c:dPt>
            <c:idx val="26"/>
            <c:marker>
              <c:symbol val="circle"/>
              <c:size val="5"/>
              <c:spPr>
                <a:solidFill>
                  <a:srgbClr val="00FFFF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1A-3789-416F-82C9-1E5B25BD25F3}"/>
              </c:ext>
            </c:extLst>
          </c:dPt>
          <c:dPt>
            <c:idx val="27"/>
            <c:marker>
              <c:symbol val="circle"/>
              <c:size val="5"/>
              <c:spPr>
                <a:solidFill>
                  <a:srgbClr val="00FFFF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1B-3789-416F-82C9-1E5B25BD25F3}"/>
              </c:ext>
            </c:extLst>
          </c:dPt>
          <c:dPt>
            <c:idx val="28"/>
            <c:marker>
              <c:symbol val="circle"/>
              <c:size val="5"/>
              <c:spPr>
                <a:solidFill>
                  <a:srgbClr val="00FFFF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1C-3789-416F-82C9-1E5B25BD25F3}"/>
              </c:ext>
            </c:extLst>
          </c:dPt>
          <c:dPt>
            <c:idx val="29"/>
            <c:marker>
              <c:symbol val="circle"/>
              <c:size val="5"/>
              <c:spPr>
                <a:solidFill>
                  <a:srgbClr val="00FFFF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1D-3789-416F-82C9-1E5B25BD25F3}"/>
              </c:ext>
            </c:extLst>
          </c:dPt>
          <c:xVal>
            <c:numRef>
              <c:f>tests!$D$2:$D$31</c:f>
              <c:numCache>
                <c:formatCode>General</c:formatCode>
                <c:ptCount val="30"/>
                <c:pt idx="0">
                  <c:v>3.96</c:v>
                </c:pt>
                <c:pt idx="1">
                  <c:v>4.22</c:v>
                </c:pt>
                <c:pt idx="2">
                  <c:v>3.8</c:v>
                </c:pt>
                <c:pt idx="3">
                  <c:v>4.8099999999999996</c:v>
                </c:pt>
                <c:pt idx="4">
                  <c:v>4.24</c:v>
                </c:pt>
                <c:pt idx="5">
                  <c:v>4.1900000000000004</c:v>
                </c:pt>
                <c:pt idx="6">
                  <c:v>5.05</c:v>
                </c:pt>
                <c:pt idx="7">
                  <c:v>4.9000000000000004</c:v>
                </c:pt>
                <c:pt idx="8">
                  <c:v>5.05</c:v>
                </c:pt>
                <c:pt idx="9">
                  <c:v>4.46</c:v>
                </c:pt>
                <c:pt idx="10">
                  <c:v>4.51</c:v>
                </c:pt>
                <c:pt idx="11">
                  <c:v>3.63</c:v>
                </c:pt>
                <c:pt idx="12">
                  <c:v>3.32</c:v>
                </c:pt>
                <c:pt idx="13">
                  <c:v>3.59</c:v>
                </c:pt>
                <c:pt idx="14">
                  <c:v>4.58</c:v>
                </c:pt>
                <c:pt idx="15">
                  <c:v>3.56</c:v>
                </c:pt>
                <c:pt idx="16">
                  <c:v>4.34</c:v>
                </c:pt>
                <c:pt idx="17">
                  <c:v>4.29</c:v>
                </c:pt>
                <c:pt idx="18">
                  <c:v>5.05</c:v>
                </c:pt>
                <c:pt idx="19">
                  <c:v>2.79</c:v>
                </c:pt>
                <c:pt idx="20">
                  <c:v>2.86</c:v>
                </c:pt>
                <c:pt idx="21">
                  <c:v>1.94</c:v>
                </c:pt>
                <c:pt idx="22">
                  <c:v>1.82</c:v>
                </c:pt>
                <c:pt idx="23">
                  <c:v>3.26</c:v>
                </c:pt>
                <c:pt idx="24">
                  <c:v>2.69</c:v>
                </c:pt>
                <c:pt idx="25">
                  <c:v>4.09</c:v>
                </c:pt>
                <c:pt idx="26">
                  <c:v>3.62</c:v>
                </c:pt>
                <c:pt idx="27">
                  <c:v>3.19</c:v>
                </c:pt>
                <c:pt idx="28">
                  <c:v>3.85</c:v>
                </c:pt>
                <c:pt idx="29">
                  <c:v>4.18</c:v>
                </c:pt>
              </c:numCache>
            </c:numRef>
          </c:xVal>
          <c:yVal>
            <c:numRef>
              <c:f>tests!$E$2:$E$31</c:f>
              <c:numCache>
                <c:formatCode>General</c:formatCode>
                <c:ptCount val="30"/>
                <c:pt idx="0">
                  <c:v>56.6</c:v>
                </c:pt>
                <c:pt idx="1">
                  <c:v>61.9</c:v>
                </c:pt>
                <c:pt idx="2">
                  <c:v>81.8</c:v>
                </c:pt>
                <c:pt idx="3">
                  <c:v>65.2</c:v>
                </c:pt>
                <c:pt idx="4">
                  <c:v>80.3</c:v>
                </c:pt>
                <c:pt idx="5">
                  <c:v>57.6</c:v>
                </c:pt>
                <c:pt idx="6">
                  <c:v>73.900000000000006</c:v>
                </c:pt>
                <c:pt idx="7">
                  <c:v>68.900000000000006</c:v>
                </c:pt>
                <c:pt idx="8">
                  <c:v>76</c:v>
                </c:pt>
                <c:pt idx="9">
                  <c:v>81.3</c:v>
                </c:pt>
                <c:pt idx="10">
                  <c:v>83.3</c:v>
                </c:pt>
                <c:pt idx="11">
                  <c:v>70.8</c:v>
                </c:pt>
                <c:pt idx="12">
                  <c:v>74.8</c:v>
                </c:pt>
                <c:pt idx="13">
                  <c:v>77.7</c:v>
                </c:pt>
                <c:pt idx="14">
                  <c:v>76.3</c:v>
                </c:pt>
                <c:pt idx="15">
                  <c:v>61</c:v>
                </c:pt>
                <c:pt idx="16">
                  <c:v>61.4</c:v>
                </c:pt>
                <c:pt idx="17">
                  <c:v>67.099999999999994</c:v>
                </c:pt>
                <c:pt idx="18">
                  <c:v>64.8</c:v>
                </c:pt>
                <c:pt idx="19">
                  <c:v>84.3</c:v>
                </c:pt>
                <c:pt idx="20">
                  <c:v>66.8</c:v>
                </c:pt>
                <c:pt idx="21">
                  <c:v>83.3</c:v>
                </c:pt>
                <c:pt idx="22">
                  <c:v>90.4</c:v>
                </c:pt>
                <c:pt idx="23">
                  <c:v>62.4</c:v>
                </c:pt>
                <c:pt idx="24">
                  <c:v>68.2</c:v>
                </c:pt>
                <c:pt idx="25">
                  <c:v>70.7</c:v>
                </c:pt>
                <c:pt idx="26">
                  <c:v>88.4</c:v>
                </c:pt>
                <c:pt idx="27">
                  <c:v>81.3</c:v>
                </c:pt>
                <c:pt idx="28">
                  <c:v>64.400000000000006</c:v>
                </c:pt>
                <c:pt idx="29">
                  <c:v>67.5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E-3789-416F-82C9-1E5B25BD25F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94371711"/>
        <c:axId val="1394385151"/>
      </c:scatterChart>
      <c:valAx>
        <c:axId val="13943717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hu-HU"/>
          </a:p>
        </c:txPr>
        <c:crossAx val="1394385151"/>
        <c:crosses val="autoZero"/>
        <c:crossBetween val="midCat"/>
      </c:valAx>
      <c:valAx>
        <c:axId val="1394385151"/>
        <c:scaling>
          <c:orientation val="minMax"/>
          <c:max val="100"/>
          <c:min val="5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&quot; %&quot;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hu-HU"/>
          </a:p>
        </c:txPr>
        <c:crossAx val="13943717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23470596267001528"/>
          <c:y val="0.91998586100298596"/>
          <c:w val="0.36674113598319391"/>
          <c:h val="3.190135908308669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hu-HU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hu-HU"/>
    </a:p>
  </c:txPr>
  <c:userShapes r:id="rId3"/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hu-H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hu-HU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Tests with </a:t>
            </a:r>
            <a:r>
              <a:rPr lang="hu-HU" sz="1400"/>
              <a:t>2</a:t>
            </a:r>
            <a:r>
              <a:rPr lang="hu-HU" sz="1400" baseline="0"/>
              <a:t> bugs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hu-HU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tests!$E$1</c:f>
              <c:strCache>
                <c:ptCount val="1"/>
                <c:pt idx="0">
                  <c:v>patch accuracy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rgbClr val="FF0000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0-E2B0-4467-A7ED-37D8E98E3027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rgbClr val="FF0000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E2B0-4467-A7ED-37D8E98E3027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rgbClr val="FF0000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2-E2B0-4467-A7ED-37D8E98E3027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rgbClr val="FF0000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3-E2B0-4467-A7ED-37D8E98E3027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rgbClr val="FF0000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4-E2B0-4467-A7ED-37D8E98E3027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rgbClr val="FF0000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5-E2B0-4467-A7ED-37D8E98E3027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rgbClr val="FF0000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6-E2B0-4467-A7ED-37D8E98E3027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rgbClr val="FF0000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7-E2B0-4467-A7ED-37D8E98E3027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rgbClr val="FF0000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8-E2B0-4467-A7ED-37D8E98E3027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rgbClr val="FF0000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9-E2B0-4467-A7ED-37D8E98E3027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rgbClr val="FF0000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A-E2B0-4467-A7ED-37D8E98E3027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rgbClr val="00FF00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B-E2B0-4467-A7ED-37D8E98E3027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rgbClr val="00FF00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C-E2B0-4467-A7ED-37D8E98E3027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rgbClr val="00FF00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D-E2B0-4467-A7ED-37D8E98E3027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rgbClr val="00FF00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E-E2B0-4467-A7ED-37D8E98E3027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rgbClr val="00FF00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F-E2B0-4467-A7ED-37D8E98E3027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rgbClr val="00FF00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10-E2B0-4467-A7ED-37D8E98E3027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rgbClr val="00FF00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11-E2B0-4467-A7ED-37D8E98E3027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rgbClr val="00FF00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12-E2B0-4467-A7ED-37D8E98E3027}"/>
              </c:ext>
            </c:extLst>
          </c:dPt>
          <c:dPt>
            <c:idx val="19"/>
            <c:marker>
              <c:symbol val="circle"/>
              <c:size val="5"/>
              <c:spPr>
                <a:solidFill>
                  <a:srgbClr val="00FF00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13-E2B0-4467-A7ED-37D8E98E3027}"/>
              </c:ext>
            </c:extLst>
          </c:dPt>
          <c:dPt>
            <c:idx val="20"/>
            <c:marker>
              <c:symbol val="circle"/>
              <c:size val="5"/>
              <c:spPr>
                <a:solidFill>
                  <a:srgbClr val="00FF00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14-E2B0-4467-A7ED-37D8E98E3027}"/>
              </c:ext>
            </c:extLst>
          </c:dPt>
          <c:dPt>
            <c:idx val="21"/>
            <c:marker>
              <c:symbol val="circle"/>
              <c:size val="5"/>
              <c:spPr>
                <a:solidFill>
                  <a:srgbClr val="00FF00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15-E2B0-4467-A7ED-37D8E98E3027}"/>
              </c:ext>
            </c:extLst>
          </c:dPt>
          <c:dPt>
            <c:idx val="22"/>
            <c:marker>
              <c:symbol val="circle"/>
              <c:size val="5"/>
              <c:spPr>
                <a:solidFill>
                  <a:srgbClr val="0000FF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16-E2B0-4467-A7ED-37D8E98E3027}"/>
              </c:ext>
            </c:extLst>
          </c:dPt>
          <c:dPt>
            <c:idx val="23"/>
            <c:marker>
              <c:symbol val="circle"/>
              <c:size val="5"/>
              <c:spPr>
                <a:solidFill>
                  <a:srgbClr val="0000FF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17-E2B0-4467-A7ED-37D8E98E3027}"/>
              </c:ext>
            </c:extLst>
          </c:dPt>
          <c:dPt>
            <c:idx val="24"/>
            <c:marker>
              <c:symbol val="circle"/>
              <c:size val="5"/>
              <c:spPr>
                <a:solidFill>
                  <a:srgbClr val="0000FF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18-E2B0-4467-A7ED-37D8E98E3027}"/>
              </c:ext>
            </c:extLst>
          </c:dPt>
          <c:dPt>
            <c:idx val="25"/>
            <c:marker>
              <c:symbol val="circle"/>
              <c:size val="5"/>
              <c:spPr>
                <a:solidFill>
                  <a:srgbClr val="0000FF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19-E2B0-4467-A7ED-37D8E98E3027}"/>
              </c:ext>
            </c:extLst>
          </c:dPt>
          <c:dPt>
            <c:idx val="26"/>
            <c:marker>
              <c:symbol val="circle"/>
              <c:size val="5"/>
              <c:spPr>
                <a:solidFill>
                  <a:srgbClr val="0000FF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1A-E2B0-4467-A7ED-37D8E98E3027}"/>
              </c:ext>
            </c:extLst>
          </c:dPt>
          <c:dPt>
            <c:idx val="27"/>
            <c:marker>
              <c:symbol val="circle"/>
              <c:size val="5"/>
              <c:spPr>
                <a:solidFill>
                  <a:srgbClr val="0000FF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1B-E2B0-4467-A7ED-37D8E98E3027}"/>
              </c:ext>
            </c:extLst>
          </c:dPt>
          <c:dPt>
            <c:idx val="28"/>
            <c:marker>
              <c:symbol val="circle"/>
              <c:size val="5"/>
              <c:spPr>
                <a:solidFill>
                  <a:srgbClr val="0000FF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1C-E2B0-4467-A7ED-37D8E98E3027}"/>
              </c:ext>
            </c:extLst>
          </c:dPt>
          <c:dPt>
            <c:idx val="29"/>
            <c:marker>
              <c:symbol val="circle"/>
              <c:size val="5"/>
              <c:spPr>
                <a:solidFill>
                  <a:srgbClr val="0000FF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1D-E2B0-4467-A7ED-37D8E98E3027}"/>
              </c:ext>
            </c:extLst>
          </c:dPt>
          <c:dPt>
            <c:idx val="30"/>
            <c:marker>
              <c:symbol val="circle"/>
              <c:size val="5"/>
              <c:spPr>
                <a:solidFill>
                  <a:srgbClr val="0000FF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1E-E2B0-4467-A7ED-37D8E98E3027}"/>
              </c:ext>
            </c:extLst>
          </c:dPt>
          <c:dPt>
            <c:idx val="31"/>
            <c:marker>
              <c:symbol val="circle"/>
              <c:size val="5"/>
              <c:spPr>
                <a:solidFill>
                  <a:srgbClr val="0000FF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1F-E2B0-4467-A7ED-37D8E98E3027}"/>
              </c:ext>
            </c:extLst>
          </c:dPt>
          <c:dPt>
            <c:idx val="32"/>
            <c:marker>
              <c:symbol val="circle"/>
              <c:size val="5"/>
              <c:spPr>
                <a:solidFill>
                  <a:srgbClr val="0000FF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0-E2B0-4467-A7ED-37D8E98E3027}"/>
              </c:ext>
            </c:extLst>
          </c:dPt>
          <c:dPt>
            <c:idx val="33"/>
            <c:marker>
              <c:symbol val="circle"/>
              <c:size val="5"/>
              <c:spPr>
                <a:solidFill>
                  <a:srgbClr val="FFFF00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1-E2B0-4467-A7ED-37D8E98E3027}"/>
              </c:ext>
            </c:extLst>
          </c:dPt>
          <c:dPt>
            <c:idx val="34"/>
            <c:marker>
              <c:symbol val="circle"/>
              <c:size val="5"/>
              <c:spPr>
                <a:solidFill>
                  <a:srgbClr val="FFFF00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2-E2B0-4467-A7ED-37D8E98E3027}"/>
              </c:ext>
            </c:extLst>
          </c:dPt>
          <c:dPt>
            <c:idx val="35"/>
            <c:marker>
              <c:symbol val="circle"/>
              <c:size val="5"/>
              <c:spPr>
                <a:solidFill>
                  <a:srgbClr val="FFFF00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3-E2B0-4467-A7ED-37D8E98E3027}"/>
              </c:ext>
            </c:extLst>
          </c:dPt>
          <c:dPt>
            <c:idx val="36"/>
            <c:marker>
              <c:symbol val="circle"/>
              <c:size val="5"/>
              <c:spPr>
                <a:solidFill>
                  <a:srgbClr val="FFFF00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4-E2B0-4467-A7ED-37D8E98E3027}"/>
              </c:ext>
            </c:extLst>
          </c:dPt>
          <c:dPt>
            <c:idx val="37"/>
            <c:marker>
              <c:symbol val="circle"/>
              <c:size val="5"/>
              <c:spPr>
                <a:solidFill>
                  <a:srgbClr val="FFFF00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5-E2B0-4467-A7ED-37D8E98E3027}"/>
              </c:ext>
            </c:extLst>
          </c:dPt>
          <c:dPt>
            <c:idx val="38"/>
            <c:marker>
              <c:symbol val="circle"/>
              <c:size val="5"/>
              <c:spPr>
                <a:solidFill>
                  <a:srgbClr val="FFFF00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E2B0-4467-A7ED-37D8E98E3027}"/>
              </c:ext>
            </c:extLst>
          </c:dPt>
          <c:dPt>
            <c:idx val="39"/>
            <c:marker>
              <c:symbol val="circle"/>
              <c:size val="5"/>
              <c:spPr>
                <a:solidFill>
                  <a:srgbClr val="FFFF00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E2B0-4467-A7ED-37D8E98E3027}"/>
              </c:ext>
            </c:extLst>
          </c:dPt>
          <c:dPt>
            <c:idx val="40"/>
            <c:marker>
              <c:symbol val="circle"/>
              <c:size val="5"/>
              <c:spPr>
                <a:solidFill>
                  <a:srgbClr val="FFFF00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E2B0-4467-A7ED-37D8E98E3027}"/>
              </c:ext>
            </c:extLst>
          </c:dPt>
          <c:dPt>
            <c:idx val="41"/>
            <c:marker>
              <c:symbol val="circle"/>
              <c:size val="5"/>
              <c:spPr>
                <a:solidFill>
                  <a:srgbClr val="FFFF00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E2B0-4467-A7ED-37D8E98E3027}"/>
              </c:ext>
            </c:extLst>
          </c:dPt>
          <c:dPt>
            <c:idx val="42"/>
            <c:marker>
              <c:symbol val="circle"/>
              <c:size val="5"/>
              <c:spPr>
                <a:solidFill>
                  <a:srgbClr val="FFFF00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E2B0-4467-A7ED-37D8E98E3027}"/>
              </c:ext>
            </c:extLst>
          </c:dPt>
          <c:dPt>
            <c:idx val="43"/>
            <c:marker>
              <c:symbol val="circle"/>
              <c:size val="5"/>
              <c:spPr>
                <a:solidFill>
                  <a:srgbClr val="FFFF00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E2B0-4467-A7ED-37D8E98E3027}"/>
              </c:ext>
            </c:extLst>
          </c:dPt>
          <c:dPt>
            <c:idx val="44"/>
            <c:marker>
              <c:symbol val="circle"/>
              <c:size val="5"/>
              <c:spPr>
                <a:solidFill>
                  <a:srgbClr val="00FFFF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E2B0-4467-A7ED-37D8E98E3027}"/>
              </c:ext>
            </c:extLst>
          </c:dPt>
          <c:dPt>
            <c:idx val="45"/>
            <c:marker>
              <c:symbol val="circle"/>
              <c:size val="5"/>
              <c:spPr>
                <a:solidFill>
                  <a:srgbClr val="00FFFF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E2B0-4467-A7ED-37D8E98E3027}"/>
              </c:ext>
            </c:extLst>
          </c:dPt>
          <c:dPt>
            <c:idx val="46"/>
            <c:marker>
              <c:symbol val="circle"/>
              <c:size val="5"/>
              <c:spPr>
                <a:solidFill>
                  <a:srgbClr val="00FFFF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E2B0-4467-A7ED-37D8E98E3027}"/>
              </c:ext>
            </c:extLst>
          </c:dPt>
          <c:dPt>
            <c:idx val="47"/>
            <c:marker>
              <c:symbol val="circle"/>
              <c:size val="5"/>
              <c:spPr>
                <a:solidFill>
                  <a:srgbClr val="00FFFF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E2B0-4467-A7ED-37D8E98E3027}"/>
              </c:ext>
            </c:extLst>
          </c:dPt>
          <c:dPt>
            <c:idx val="48"/>
            <c:marker>
              <c:symbol val="circle"/>
              <c:size val="5"/>
              <c:spPr>
                <a:solidFill>
                  <a:srgbClr val="00FFFF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E2B0-4467-A7ED-37D8E98E3027}"/>
              </c:ext>
            </c:extLst>
          </c:dPt>
          <c:dPt>
            <c:idx val="49"/>
            <c:marker>
              <c:symbol val="circle"/>
              <c:size val="5"/>
              <c:spPr>
                <a:solidFill>
                  <a:srgbClr val="00FFFF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E2B0-4467-A7ED-37D8E98E3027}"/>
              </c:ext>
            </c:extLst>
          </c:dPt>
          <c:dPt>
            <c:idx val="50"/>
            <c:marker>
              <c:symbol val="circle"/>
              <c:size val="5"/>
              <c:spPr>
                <a:solidFill>
                  <a:srgbClr val="00FFFF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E2B0-4467-A7ED-37D8E98E3027}"/>
              </c:ext>
            </c:extLst>
          </c:dPt>
          <c:dPt>
            <c:idx val="51"/>
            <c:marker>
              <c:symbol val="circle"/>
              <c:size val="5"/>
              <c:spPr>
                <a:solidFill>
                  <a:srgbClr val="00FFFF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E2B0-4467-A7ED-37D8E98E3027}"/>
              </c:ext>
            </c:extLst>
          </c:dPt>
          <c:dPt>
            <c:idx val="52"/>
            <c:marker>
              <c:symbol val="circle"/>
              <c:size val="5"/>
              <c:spPr>
                <a:solidFill>
                  <a:srgbClr val="00FFFF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E2B0-4467-A7ED-37D8E98E3027}"/>
              </c:ext>
            </c:extLst>
          </c:dPt>
          <c:dPt>
            <c:idx val="53"/>
            <c:marker>
              <c:symbol val="circle"/>
              <c:size val="5"/>
              <c:spPr>
                <a:solidFill>
                  <a:srgbClr val="00FFFF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E2B0-4467-A7ED-37D8E98E3027}"/>
              </c:ext>
            </c:extLst>
          </c:dPt>
          <c:dPt>
            <c:idx val="54"/>
            <c:marker>
              <c:symbol val="circle"/>
              <c:size val="5"/>
              <c:spPr>
                <a:solidFill>
                  <a:srgbClr val="00FFFF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E2B0-4467-A7ED-37D8E98E3027}"/>
              </c:ext>
            </c:extLst>
          </c:dPt>
          <c:xVal>
            <c:numRef>
              <c:f>tests!$D$32:$D$86</c:f>
              <c:numCache>
                <c:formatCode>General</c:formatCode>
                <c:ptCount val="55"/>
                <c:pt idx="0">
                  <c:v>4.3899999999999997</c:v>
                </c:pt>
                <c:pt idx="1">
                  <c:v>4.21</c:v>
                </c:pt>
                <c:pt idx="2">
                  <c:v>3.84</c:v>
                </c:pt>
                <c:pt idx="3">
                  <c:v>4.93</c:v>
                </c:pt>
                <c:pt idx="4">
                  <c:v>4.26</c:v>
                </c:pt>
                <c:pt idx="5">
                  <c:v>3.96</c:v>
                </c:pt>
                <c:pt idx="6">
                  <c:v>4.3099999999999996</c:v>
                </c:pt>
                <c:pt idx="7">
                  <c:v>5.43</c:v>
                </c:pt>
                <c:pt idx="8">
                  <c:v>5.2</c:v>
                </c:pt>
                <c:pt idx="9">
                  <c:v>5.33</c:v>
                </c:pt>
                <c:pt idx="10">
                  <c:v>4.34</c:v>
                </c:pt>
                <c:pt idx="11">
                  <c:v>4.18</c:v>
                </c:pt>
                <c:pt idx="12">
                  <c:v>4.12</c:v>
                </c:pt>
                <c:pt idx="13">
                  <c:v>5.89</c:v>
                </c:pt>
                <c:pt idx="14">
                  <c:v>5.26</c:v>
                </c:pt>
                <c:pt idx="15">
                  <c:v>3.87</c:v>
                </c:pt>
                <c:pt idx="16">
                  <c:v>4.5999999999999996</c:v>
                </c:pt>
                <c:pt idx="17">
                  <c:v>4.5999999999999996</c:v>
                </c:pt>
                <c:pt idx="18">
                  <c:v>5.48</c:v>
                </c:pt>
                <c:pt idx="19">
                  <c:v>4.95</c:v>
                </c:pt>
                <c:pt idx="20">
                  <c:v>5.61</c:v>
                </c:pt>
                <c:pt idx="21">
                  <c:v>4.74</c:v>
                </c:pt>
                <c:pt idx="22">
                  <c:v>4.47</c:v>
                </c:pt>
                <c:pt idx="23">
                  <c:v>3.98</c:v>
                </c:pt>
                <c:pt idx="24">
                  <c:v>4.12</c:v>
                </c:pt>
                <c:pt idx="25">
                  <c:v>3.33</c:v>
                </c:pt>
                <c:pt idx="26">
                  <c:v>4.5</c:v>
                </c:pt>
                <c:pt idx="27">
                  <c:v>3.82</c:v>
                </c:pt>
                <c:pt idx="28">
                  <c:v>3.81</c:v>
                </c:pt>
                <c:pt idx="29">
                  <c:v>4.8899999999999997</c:v>
                </c:pt>
                <c:pt idx="30">
                  <c:v>3.43</c:v>
                </c:pt>
                <c:pt idx="31">
                  <c:v>3.7</c:v>
                </c:pt>
                <c:pt idx="32">
                  <c:v>4.1399999999999997</c:v>
                </c:pt>
                <c:pt idx="33">
                  <c:v>4.13</c:v>
                </c:pt>
                <c:pt idx="34">
                  <c:v>3.48</c:v>
                </c:pt>
                <c:pt idx="35">
                  <c:v>3.37</c:v>
                </c:pt>
                <c:pt idx="36">
                  <c:v>1.22</c:v>
                </c:pt>
                <c:pt idx="37">
                  <c:v>2.52</c:v>
                </c:pt>
                <c:pt idx="38">
                  <c:v>3.17</c:v>
                </c:pt>
                <c:pt idx="39">
                  <c:v>5.23</c:v>
                </c:pt>
                <c:pt idx="40">
                  <c:v>3.12</c:v>
                </c:pt>
                <c:pt idx="41">
                  <c:v>3.21</c:v>
                </c:pt>
                <c:pt idx="42">
                  <c:v>3.74</c:v>
                </c:pt>
                <c:pt idx="43">
                  <c:v>2.8</c:v>
                </c:pt>
                <c:pt idx="44">
                  <c:v>4.26</c:v>
                </c:pt>
                <c:pt idx="45">
                  <c:v>4.5</c:v>
                </c:pt>
                <c:pt idx="46">
                  <c:v>3.53</c:v>
                </c:pt>
                <c:pt idx="47">
                  <c:v>3.74</c:v>
                </c:pt>
                <c:pt idx="48">
                  <c:v>4.1500000000000004</c:v>
                </c:pt>
                <c:pt idx="49">
                  <c:v>2.48</c:v>
                </c:pt>
                <c:pt idx="50">
                  <c:v>3.56</c:v>
                </c:pt>
                <c:pt idx="51">
                  <c:v>3.63</c:v>
                </c:pt>
                <c:pt idx="52">
                  <c:v>4.3600000000000003</c:v>
                </c:pt>
                <c:pt idx="53">
                  <c:v>3.88</c:v>
                </c:pt>
                <c:pt idx="54">
                  <c:v>4.3</c:v>
                </c:pt>
              </c:numCache>
            </c:numRef>
          </c:xVal>
          <c:yVal>
            <c:numRef>
              <c:f>tests!$E$32:$E$86</c:f>
              <c:numCache>
                <c:formatCode>General</c:formatCode>
                <c:ptCount val="55"/>
                <c:pt idx="0">
                  <c:v>68.099999999999994</c:v>
                </c:pt>
                <c:pt idx="1">
                  <c:v>67.7</c:v>
                </c:pt>
                <c:pt idx="2">
                  <c:v>82.7</c:v>
                </c:pt>
                <c:pt idx="3">
                  <c:v>70.900000000000006</c:v>
                </c:pt>
                <c:pt idx="4">
                  <c:v>83.4</c:v>
                </c:pt>
                <c:pt idx="5">
                  <c:v>72</c:v>
                </c:pt>
                <c:pt idx="6">
                  <c:v>68.8</c:v>
                </c:pt>
                <c:pt idx="7">
                  <c:v>78.2</c:v>
                </c:pt>
                <c:pt idx="8">
                  <c:v>78</c:v>
                </c:pt>
                <c:pt idx="9">
                  <c:v>73.900000000000006</c:v>
                </c:pt>
                <c:pt idx="10">
                  <c:v>62.2</c:v>
                </c:pt>
                <c:pt idx="11">
                  <c:v>70.7</c:v>
                </c:pt>
                <c:pt idx="12">
                  <c:v>83.8</c:v>
                </c:pt>
                <c:pt idx="13">
                  <c:v>67</c:v>
                </c:pt>
                <c:pt idx="14">
                  <c:v>86.7</c:v>
                </c:pt>
                <c:pt idx="15">
                  <c:v>84.5</c:v>
                </c:pt>
                <c:pt idx="16">
                  <c:v>69.099999999999994</c:v>
                </c:pt>
                <c:pt idx="17">
                  <c:v>76.8</c:v>
                </c:pt>
                <c:pt idx="18">
                  <c:v>83.4</c:v>
                </c:pt>
                <c:pt idx="19">
                  <c:v>89.5</c:v>
                </c:pt>
                <c:pt idx="20">
                  <c:v>87</c:v>
                </c:pt>
                <c:pt idx="21">
                  <c:v>80.400000000000006</c:v>
                </c:pt>
                <c:pt idx="22">
                  <c:v>81.599999999999994</c:v>
                </c:pt>
                <c:pt idx="23">
                  <c:v>75.900000000000006</c:v>
                </c:pt>
                <c:pt idx="24">
                  <c:v>71.400000000000006</c:v>
                </c:pt>
                <c:pt idx="25">
                  <c:v>80.3</c:v>
                </c:pt>
                <c:pt idx="26">
                  <c:v>68.099999999999994</c:v>
                </c:pt>
                <c:pt idx="27">
                  <c:v>69.2</c:v>
                </c:pt>
                <c:pt idx="28">
                  <c:v>55.1</c:v>
                </c:pt>
                <c:pt idx="29">
                  <c:v>85.7</c:v>
                </c:pt>
                <c:pt idx="30">
                  <c:v>79.8</c:v>
                </c:pt>
                <c:pt idx="31">
                  <c:v>73.900000000000006</c:v>
                </c:pt>
                <c:pt idx="32">
                  <c:v>70.7</c:v>
                </c:pt>
                <c:pt idx="33">
                  <c:v>78.8</c:v>
                </c:pt>
                <c:pt idx="34">
                  <c:v>79.5</c:v>
                </c:pt>
                <c:pt idx="35">
                  <c:v>79.7</c:v>
                </c:pt>
                <c:pt idx="36">
                  <c:v>83</c:v>
                </c:pt>
                <c:pt idx="37">
                  <c:v>66.400000000000006</c:v>
                </c:pt>
                <c:pt idx="38">
                  <c:v>81.099999999999994</c:v>
                </c:pt>
                <c:pt idx="39">
                  <c:v>76.099999999999994</c:v>
                </c:pt>
                <c:pt idx="40">
                  <c:v>86.1</c:v>
                </c:pt>
                <c:pt idx="41">
                  <c:v>85.3</c:v>
                </c:pt>
                <c:pt idx="42">
                  <c:v>64.3</c:v>
                </c:pt>
                <c:pt idx="43">
                  <c:v>75.599999999999994</c:v>
                </c:pt>
                <c:pt idx="44">
                  <c:v>87.7</c:v>
                </c:pt>
                <c:pt idx="45">
                  <c:v>94.7</c:v>
                </c:pt>
                <c:pt idx="46">
                  <c:v>91.8</c:v>
                </c:pt>
                <c:pt idx="47">
                  <c:v>80.2</c:v>
                </c:pt>
                <c:pt idx="48">
                  <c:v>85.9</c:v>
                </c:pt>
                <c:pt idx="49">
                  <c:v>92.7</c:v>
                </c:pt>
                <c:pt idx="50">
                  <c:v>93.5</c:v>
                </c:pt>
                <c:pt idx="51">
                  <c:v>88</c:v>
                </c:pt>
                <c:pt idx="52">
                  <c:v>93.9</c:v>
                </c:pt>
                <c:pt idx="53">
                  <c:v>99.1</c:v>
                </c:pt>
                <c:pt idx="54">
                  <c:v>95.6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7-E2B0-4467-A7ED-37D8E98E302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86348383"/>
        <c:axId val="1386359903"/>
      </c:scatterChart>
      <c:valAx>
        <c:axId val="138634838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hu-HU"/>
          </a:p>
        </c:txPr>
        <c:crossAx val="1386359903"/>
        <c:crosses val="autoZero"/>
        <c:crossBetween val="midCat"/>
      </c:valAx>
      <c:valAx>
        <c:axId val="1386359903"/>
        <c:scaling>
          <c:orientation val="minMax"/>
          <c:max val="100"/>
          <c:min val="6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&quot; %&quot;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hu-HU"/>
          </a:p>
        </c:txPr>
        <c:crossAx val="138634838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39468488113162475"/>
          <c:y val="0.90153534525278856"/>
          <c:w val="0.26116264542047235"/>
          <c:h val="4.622915639094329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hu-HU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hu-HU"/>
    </a:p>
  </c:txPr>
  <c:userShapes r:id="rId3"/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hu-H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hu-HU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Tests with </a:t>
            </a:r>
            <a:r>
              <a:rPr lang="hu-HU" sz="1400"/>
              <a:t>3 bugs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hu-HU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rgbClr val="FF0000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0-A401-4D8B-AE57-DD9E51A9FDAC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rgbClr val="FF0000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A401-4D8B-AE57-DD9E51A9FDAC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rgbClr val="FF0000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2-A401-4D8B-AE57-DD9E51A9FDAC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rgbClr val="FF0000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3-A401-4D8B-AE57-DD9E51A9FDAC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rgbClr val="FF0000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4-A401-4D8B-AE57-DD9E51A9FDAC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rgbClr val="FF0000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5-A401-4D8B-AE57-DD9E51A9FDAC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rgbClr val="FF0000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6-A401-4D8B-AE57-DD9E51A9FDAC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rgbClr val="FF0000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7-A401-4D8B-AE57-DD9E51A9FDAC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rgbClr val="FF0000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8-A401-4D8B-AE57-DD9E51A9FDAC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rgbClr val="FF0000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9-A401-4D8B-AE57-DD9E51A9FDAC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rgbClr val="FF0000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A-A401-4D8B-AE57-DD9E51A9FDAC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rgbClr val="00FF00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B-A401-4D8B-AE57-DD9E51A9FDAC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rgbClr val="00FF00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C-A401-4D8B-AE57-DD9E51A9FDAC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rgbClr val="00FF00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D-A401-4D8B-AE57-DD9E51A9FDAC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rgbClr val="00FF00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E-A401-4D8B-AE57-DD9E51A9FDAC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rgbClr val="00FF00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F-A401-4D8B-AE57-DD9E51A9FDAC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rgbClr val="00FF00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10-A401-4D8B-AE57-DD9E51A9FDAC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rgbClr val="00FF00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11-A401-4D8B-AE57-DD9E51A9FDAC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rgbClr val="00FF00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12-A401-4D8B-AE57-DD9E51A9FDAC}"/>
              </c:ext>
            </c:extLst>
          </c:dPt>
          <c:dPt>
            <c:idx val="19"/>
            <c:marker>
              <c:symbol val="circle"/>
              <c:size val="5"/>
              <c:spPr>
                <a:solidFill>
                  <a:srgbClr val="00FF00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13-A401-4D8B-AE57-DD9E51A9FDAC}"/>
              </c:ext>
            </c:extLst>
          </c:dPt>
          <c:dPt>
            <c:idx val="20"/>
            <c:marker>
              <c:symbol val="circle"/>
              <c:size val="5"/>
              <c:spPr>
                <a:solidFill>
                  <a:srgbClr val="00FF00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14-A401-4D8B-AE57-DD9E51A9FDAC}"/>
              </c:ext>
            </c:extLst>
          </c:dPt>
          <c:dPt>
            <c:idx val="21"/>
            <c:marker>
              <c:symbol val="circle"/>
              <c:size val="5"/>
              <c:spPr>
                <a:solidFill>
                  <a:srgbClr val="00FF00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15-A401-4D8B-AE57-DD9E51A9FDAC}"/>
              </c:ext>
            </c:extLst>
          </c:dPt>
          <c:dPt>
            <c:idx val="22"/>
            <c:marker>
              <c:symbol val="circle"/>
              <c:size val="5"/>
              <c:spPr>
                <a:solidFill>
                  <a:srgbClr val="0000FF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16-A401-4D8B-AE57-DD9E51A9FDAC}"/>
              </c:ext>
            </c:extLst>
          </c:dPt>
          <c:dPt>
            <c:idx val="23"/>
            <c:marker>
              <c:symbol val="circle"/>
              <c:size val="5"/>
              <c:spPr>
                <a:solidFill>
                  <a:srgbClr val="0000FF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17-A401-4D8B-AE57-DD9E51A9FDAC}"/>
              </c:ext>
            </c:extLst>
          </c:dPt>
          <c:dPt>
            <c:idx val="24"/>
            <c:marker>
              <c:symbol val="circle"/>
              <c:size val="5"/>
              <c:spPr>
                <a:solidFill>
                  <a:srgbClr val="0000FF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18-A401-4D8B-AE57-DD9E51A9FDAC}"/>
              </c:ext>
            </c:extLst>
          </c:dPt>
          <c:dPt>
            <c:idx val="25"/>
            <c:marker>
              <c:symbol val="circle"/>
              <c:size val="5"/>
              <c:spPr>
                <a:solidFill>
                  <a:srgbClr val="0000FF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19-A401-4D8B-AE57-DD9E51A9FDAC}"/>
              </c:ext>
            </c:extLst>
          </c:dPt>
          <c:dPt>
            <c:idx val="26"/>
            <c:marker>
              <c:symbol val="circle"/>
              <c:size val="5"/>
              <c:spPr>
                <a:solidFill>
                  <a:srgbClr val="0000FF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1A-A401-4D8B-AE57-DD9E51A9FDAC}"/>
              </c:ext>
            </c:extLst>
          </c:dPt>
          <c:dPt>
            <c:idx val="27"/>
            <c:marker>
              <c:symbol val="circle"/>
              <c:size val="5"/>
              <c:spPr>
                <a:solidFill>
                  <a:srgbClr val="0000FF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1B-A401-4D8B-AE57-DD9E51A9FDAC}"/>
              </c:ext>
            </c:extLst>
          </c:dPt>
          <c:dPt>
            <c:idx val="28"/>
            <c:marker>
              <c:symbol val="circle"/>
              <c:size val="5"/>
              <c:spPr>
                <a:solidFill>
                  <a:srgbClr val="0000FF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1C-A401-4D8B-AE57-DD9E51A9FDAC}"/>
              </c:ext>
            </c:extLst>
          </c:dPt>
          <c:dPt>
            <c:idx val="29"/>
            <c:marker>
              <c:symbol val="circle"/>
              <c:size val="5"/>
              <c:spPr>
                <a:solidFill>
                  <a:srgbClr val="0000FF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1D-A401-4D8B-AE57-DD9E51A9FDAC}"/>
              </c:ext>
            </c:extLst>
          </c:dPt>
          <c:dPt>
            <c:idx val="30"/>
            <c:marker>
              <c:symbol val="circle"/>
              <c:size val="5"/>
              <c:spPr>
                <a:solidFill>
                  <a:srgbClr val="0000FF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1E-A401-4D8B-AE57-DD9E51A9FDAC}"/>
              </c:ext>
            </c:extLst>
          </c:dPt>
          <c:dPt>
            <c:idx val="31"/>
            <c:marker>
              <c:symbol val="circle"/>
              <c:size val="5"/>
              <c:spPr>
                <a:solidFill>
                  <a:srgbClr val="0000FF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1F-A401-4D8B-AE57-DD9E51A9FDAC}"/>
              </c:ext>
            </c:extLst>
          </c:dPt>
          <c:dPt>
            <c:idx val="32"/>
            <c:marker>
              <c:symbol val="circle"/>
              <c:size val="5"/>
              <c:spPr>
                <a:solidFill>
                  <a:srgbClr val="0000FF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0-A401-4D8B-AE57-DD9E51A9FDAC}"/>
              </c:ext>
            </c:extLst>
          </c:dPt>
          <c:dPt>
            <c:idx val="33"/>
            <c:marker>
              <c:symbol val="circle"/>
              <c:size val="5"/>
              <c:spPr>
                <a:solidFill>
                  <a:srgbClr val="FFFF00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1-A401-4D8B-AE57-DD9E51A9FDAC}"/>
              </c:ext>
            </c:extLst>
          </c:dPt>
          <c:dPt>
            <c:idx val="34"/>
            <c:marker>
              <c:symbol val="circle"/>
              <c:size val="5"/>
              <c:spPr>
                <a:solidFill>
                  <a:srgbClr val="FFFF00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2-A401-4D8B-AE57-DD9E51A9FDAC}"/>
              </c:ext>
            </c:extLst>
          </c:dPt>
          <c:dPt>
            <c:idx val="35"/>
            <c:marker>
              <c:symbol val="circle"/>
              <c:size val="5"/>
              <c:spPr>
                <a:solidFill>
                  <a:srgbClr val="FFFF00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3-A401-4D8B-AE57-DD9E51A9FDAC}"/>
              </c:ext>
            </c:extLst>
          </c:dPt>
          <c:dPt>
            <c:idx val="36"/>
            <c:marker>
              <c:symbol val="circle"/>
              <c:size val="5"/>
              <c:spPr>
                <a:solidFill>
                  <a:srgbClr val="FFFF00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4-A401-4D8B-AE57-DD9E51A9FDAC}"/>
              </c:ext>
            </c:extLst>
          </c:dPt>
          <c:dPt>
            <c:idx val="37"/>
            <c:marker>
              <c:symbol val="circle"/>
              <c:size val="5"/>
              <c:spPr>
                <a:solidFill>
                  <a:srgbClr val="FFFF00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5-A401-4D8B-AE57-DD9E51A9FDAC}"/>
              </c:ext>
            </c:extLst>
          </c:dPt>
          <c:dPt>
            <c:idx val="38"/>
            <c:marker>
              <c:symbol val="circle"/>
              <c:size val="5"/>
              <c:spPr>
                <a:solidFill>
                  <a:srgbClr val="FFFF00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A401-4D8B-AE57-DD9E51A9FDAC}"/>
              </c:ext>
            </c:extLst>
          </c:dPt>
          <c:dPt>
            <c:idx val="39"/>
            <c:marker>
              <c:symbol val="circle"/>
              <c:size val="5"/>
              <c:spPr>
                <a:solidFill>
                  <a:srgbClr val="FFFF00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A401-4D8B-AE57-DD9E51A9FDAC}"/>
              </c:ext>
            </c:extLst>
          </c:dPt>
          <c:dPt>
            <c:idx val="40"/>
            <c:marker>
              <c:symbol val="circle"/>
              <c:size val="5"/>
              <c:spPr>
                <a:solidFill>
                  <a:srgbClr val="FFFF00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A401-4D8B-AE57-DD9E51A9FDAC}"/>
              </c:ext>
            </c:extLst>
          </c:dPt>
          <c:dPt>
            <c:idx val="41"/>
            <c:marker>
              <c:symbol val="circle"/>
              <c:size val="5"/>
              <c:spPr>
                <a:solidFill>
                  <a:srgbClr val="FFFF00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A401-4D8B-AE57-DD9E51A9FDAC}"/>
              </c:ext>
            </c:extLst>
          </c:dPt>
          <c:dPt>
            <c:idx val="42"/>
            <c:marker>
              <c:symbol val="circle"/>
              <c:size val="5"/>
              <c:spPr>
                <a:solidFill>
                  <a:srgbClr val="FFFF00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A401-4D8B-AE57-DD9E51A9FDAC}"/>
              </c:ext>
            </c:extLst>
          </c:dPt>
          <c:dPt>
            <c:idx val="43"/>
            <c:marker>
              <c:symbol val="circle"/>
              <c:size val="5"/>
              <c:spPr>
                <a:solidFill>
                  <a:srgbClr val="FFFF00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A401-4D8B-AE57-DD9E51A9FDAC}"/>
              </c:ext>
            </c:extLst>
          </c:dPt>
          <c:dPt>
            <c:idx val="44"/>
            <c:marker>
              <c:symbol val="circle"/>
              <c:size val="5"/>
              <c:spPr>
                <a:solidFill>
                  <a:srgbClr val="00FFFF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A401-4D8B-AE57-DD9E51A9FDAC}"/>
              </c:ext>
            </c:extLst>
          </c:dPt>
          <c:dPt>
            <c:idx val="45"/>
            <c:marker>
              <c:symbol val="circle"/>
              <c:size val="5"/>
              <c:spPr>
                <a:solidFill>
                  <a:srgbClr val="00FFFF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A401-4D8B-AE57-DD9E51A9FDAC}"/>
              </c:ext>
            </c:extLst>
          </c:dPt>
          <c:dPt>
            <c:idx val="46"/>
            <c:marker>
              <c:symbol val="circle"/>
              <c:size val="5"/>
              <c:spPr>
                <a:solidFill>
                  <a:srgbClr val="00FFFF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A401-4D8B-AE57-DD9E51A9FDAC}"/>
              </c:ext>
            </c:extLst>
          </c:dPt>
          <c:dPt>
            <c:idx val="47"/>
            <c:marker>
              <c:symbol val="circle"/>
              <c:size val="5"/>
              <c:spPr>
                <a:solidFill>
                  <a:srgbClr val="00FFFF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A401-4D8B-AE57-DD9E51A9FDAC}"/>
              </c:ext>
            </c:extLst>
          </c:dPt>
          <c:dPt>
            <c:idx val="48"/>
            <c:marker>
              <c:symbol val="circle"/>
              <c:size val="5"/>
              <c:spPr>
                <a:solidFill>
                  <a:srgbClr val="00FFFF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A401-4D8B-AE57-DD9E51A9FDAC}"/>
              </c:ext>
            </c:extLst>
          </c:dPt>
          <c:dPt>
            <c:idx val="49"/>
            <c:marker>
              <c:symbol val="circle"/>
              <c:size val="5"/>
              <c:spPr>
                <a:solidFill>
                  <a:srgbClr val="00FFFF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A401-4D8B-AE57-DD9E51A9FDAC}"/>
              </c:ext>
            </c:extLst>
          </c:dPt>
          <c:dPt>
            <c:idx val="50"/>
            <c:marker>
              <c:symbol val="circle"/>
              <c:size val="5"/>
              <c:spPr>
                <a:solidFill>
                  <a:srgbClr val="00FFFF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A401-4D8B-AE57-DD9E51A9FDAC}"/>
              </c:ext>
            </c:extLst>
          </c:dPt>
          <c:dPt>
            <c:idx val="51"/>
            <c:marker>
              <c:symbol val="circle"/>
              <c:size val="5"/>
              <c:spPr>
                <a:solidFill>
                  <a:srgbClr val="00FFFF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A401-4D8B-AE57-DD9E51A9FDAC}"/>
              </c:ext>
            </c:extLst>
          </c:dPt>
          <c:dPt>
            <c:idx val="52"/>
            <c:marker>
              <c:symbol val="circle"/>
              <c:size val="5"/>
              <c:spPr>
                <a:solidFill>
                  <a:srgbClr val="00FFFF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A401-4D8B-AE57-DD9E51A9FDAC}"/>
              </c:ext>
            </c:extLst>
          </c:dPt>
          <c:dPt>
            <c:idx val="53"/>
            <c:marker>
              <c:symbol val="circle"/>
              <c:size val="5"/>
              <c:spPr>
                <a:solidFill>
                  <a:srgbClr val="00FFFF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A401-4D8B-AE57-DD9E51A9FDAC}"/>
              </c:ext>
            </c:extLst>
          </c:dPt>
          <c:dPt>
            <c:idx val="54"/>
            <c:marker>
              <c:symbol val="circle"/>
              <c:size val="5"/>
              <c:spPr>
                <a:solidFill>
                  <a:srgbClr val="00FFFF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A401-4D8B-AE57-DD9E51A9FDAC}"/>
              </c:ext>
            </c:extLst>
          </c:dPt>
          <c:xVal>
            <c:numRef>
              <c:f>tests!$D$87:$D$141</c:f>
              <c:numCache>
                <c:formatCode>General</c:formatCode>
                <c:ptCount val="55"/>
                <c:pt idx="0">
                  <c:v>5.97</c:v>
                </c:pt>
                <c:pt idx="1">
                  <c:v>5.36</c:v>
                </c:pt>
                <c:pt idx="2">
                  <c:v>5.98</c:v>
                </c:pt>
                <c:pt idx="3">
                  <c:v>3.28</c:v>
                </c:pt>
                <c:pt idx="4">
                  <c:v>4.88</c:v>
                </c:pt>
                <c:pt idx="5">
                  <c:v>5.64</c:v>
                </c:pt>
                <c:pt idx="6">
                  <c:v>5.13</c:v>
                </c:pt>
                <c:pt idx="7">
                  <c:v>6.05</c:v>
                </c:pt>
                <c:pt idx="8">
                  <c:v>5.19</c:v>
                </c:pt>
                <c:pt idx="9">
                  <c:v>6.47</c:v>
                </c:pt>
                <c:pt idx="10">
                  <c:v>4.87</c:v>
                </c:pt>
                <c:pt idx="11">
                  <c:v>4.93</c:v>
                </c:pt>
                <c:pt idx="12">
                  <c:v>6.47</c:v>
                </c:pt>
                <c:pt idx="13">
                  <c:v>5.75</c:v>
                </c:pt>
                <c:pt idx="14">
                  <c:v>4.92</c:v>
                </c:pt>
                <c:pt idx="15">
                  <c:v>5.26</c:v>
                </c:pt>
                <c:pt idx="16">
                  <c:v>5.26</c:v>
                </c:pt>
                <c:pt idx="17">
                  <c:v>4.7</c:v>
                </c:pt>
                <c:pt idx="18">
                  <c:v>6.59</c:v>
                </c:pt>
                <c:pt idx="19">
                  <c:v>5.82</c:v>
                </c:pt>
                <c:pt idx="20">
                  <c:v>5.39</c:v>
                </c:pt>
                <c:pt idx="21">
                  <c:v>5.92</c:v>
                </c:pt>
                <c:pt idx="22">
                  <c:v>4.76</c:v>
                </c:pt>
                <c:pt idx="23">
                  <c:v>3.73</c:v>
                </c:pt>
                <c:pt idx="24">
                  <c:v>3.61</c:v>
                </c:pt>
                <c:pt idx="25">
                  <c:v>4.67</c:v>
                </c:pt>
                <c:pt idx="26">
                  <c:v>3.77</c:v>
                </c:pt>
                <c:pt idx="27">
                  <c:v>4.75</c:v>
                </c:pt>
                <c:pt idx="28">
                  <c:v>4.3600000000000003</c:v>
                </c:pt>
                <c:pt idx="29">
                  <c:v>4.68</c:v>
                </c:pt>
                <c:pt idx="30">
                  <c:v>4.82</c:v>
                </c:pt>
                <c:pt idx="31">
                  <c:v>4.34</c:v>
                </c:pt>
                <c:pt idx="32">
                  <c:v>5.0199999999999996</c:v>
                </c:pt>
                <c:pt idx="33">
                  <c:v>3.42</c:v>
                </c:pt>
                <c:pt idx="34">
                  <c:v>3.39</c:v>
                </c:pt>
                <c:pt idx="35">
                  <c:v>2.92</c:v>
                </c:pt>
                <c:pt idx="36">
                  <c:v>4.0999999999999996</c:v>
                </c:pt>
                <c:pt idx="37">
                  <c:v>2.37</c:v>
                </c:pt>
                <c:pt idx="38">
                  <c:v>3.31</c:v>
                </c:pt>
                <c:pt idx="39">
                  <c:v>3.73</c:v>
                </c:pt>
                <c:pt idx="40">
                  <c:v>4.9000000000000004</c:v>
                </c:pt>
                <c:pt idx="41">
                  <c:v>3.42</c:v>
                </c:pt>
                <c:pt idx="42">
                  <c:v>1.96</c:v>
                </c:pt>
                <c:pt idx="43">
                  <c:v>4.51</c:v>
                </c:pt>
                <c:pt idx="44">
                  <c:v>4.25</c:v>
                </c:pt>
                <c:pt idx="45">
                  <c:v>4.49</c:v>
                </c:pt>
                <c:pt idx="46">
                  <c:v>5.17</c:v>
                </c:pt>
                <c:pt idx="47">
                  <c:v>4.74</c:v>
                </c:pt>
                <c:pt idx="48">
                  <c:v>3.97</c:v>
                </c:pt>
                <c:pt idx="49">
                  <c:v>5.13</c:v>
                </c:pt>
                <c:pt idx="50">
                  <c:v>3.86</c:v>
                </c:pt>
                <c:pt idx="51">
                  <c:v>4.1399999999999997</c:v>
                </c:pt>
                <c:pt idx="52">
                  <c:v>4.6500000000000004</c:v>
                </c:pt>
                <c:pt idx="53">
                  <c:v>4.32</c:v>
                </c:pt>
                <c:pt idx="54">
                  <c:v>5.15</c:v>
                </c:pt>
              </c:numCache>
            </c:numRef>
          </c:xVal>
          <c:yVal>
            <c:numRef>
              <c:f>tests!$E$87:$E$141</c:f>
              <c:numCache>
                <c:formatCode>General</c:formatCode>
                <c:ptCount val="55"/>
                <c:pt idx="0">
                  <c:v>66.8</c:v>
                </c:pt>
                <c:pt idx="1">
                  <c:v>81.8</c:v>
                </c:pt>
                <c:pt idx="2">
                  <c:v>84.1</c:v>
                </c:pt>
                <c:pt idx="3">
                  <c:v>71.599999999999994</c:v>
                </c:pt>
                <c:pt idx="4">
                  <c:v>91.1</c:v>
                </c:pt>
                <c:pt idx="5">
                  <c:v>74.599999999999994</c:v>
                </c:pt>
                <c:pt idx="6">
                  <c:v>86.5</c:v>
                </c:pt>
                <c:pt idx="7">
                  <c:v>68.900000000000006</c:v>
                </c:pt>
                <c:pt idx="8">
                  <c:v>85.7</c:v>
                </c:pt>
                <c:pt idx="9">
                  <c:v>98</c:v>
                </c:pt>
                <c:pt idx="10">
                  <c:v>82.6</c:v>
                </c:pt>
                <c:pt idx="11">
                  <c:v>83.5</c:v>
                </c:pt>
                <c:pt idx="12">
                  <c:v>93.1</c:v>
                </c:pt>
                <c:pt idx="13">
                  <c:v>81.099999999999994</c:v>
                </c:pt>
                <c:pt idx="14">
                  <c:v>89.2</c:v>
                </c:pt>
                <c:pt idx="15">
                  <c:v>82.7</c:v>
                </c:pt>
                <c:pt idx="16">
                  <c:v>94</c:v>
                </c:pt>
                <c:pt idx="17">
                  <c:v>80.7</c:v>
                </c:pt>
                <c:pt idx="18">
                  <c:v>100</c:v>
                </c:pt>
                <c:pt idx="19">
                  <c:v>91.2</c:v>
                </c:pt>
                <c:pt idx="20">
                  <c:v>97.6</c:v>
                </c:pt>
                <c:pt idx="21">
                  <c:v>90</c:v>
                </c:pt>
                <c:pt idx="22">
                  <c:v>88.3</c:v>
                </c:pt>
                <c:pt idx="23">
                  <c:v>75.599999999999994</c:v>
                </c:pt>
                <c:pt idx="24">
                  <c:v>78.2</c:v>
                </c:pt>
                <c:pt idx="25">
                  <c:v>79.400000000000006</c:v>
                </c:pt>
                <c:pt idx="26">
                  <c:v>84.3</c:v>
                </c:pt>
                <c:pt idx="27">
                  <c:v>82</c:v>
                </c:pt>
                <c:pt idx="28">
                  <c:v>93.3</c:v>
                </c:pt>
                <c:pt idx="29">
                  <c:v>78</c:v>
                </c:pt>
                <c:pt idx="30">
                  <c:v>78.8</c:v>
                </c:pt>
                <c:pt idx="31">
                  <c:v>78.099999999999994</c:v>
                </c:pt>
                <c:pt idx="32">
                  <c:v>82.9</c:v>
                </c:pt>
                <c:pt idx="33">
                  <c:v>76.400000000000006</c:v>
                </c:pt>
                <c:pt idx="34">
                  <c:v>86</c:v>
                </c:pt>
                <c:pt idx="35">
                  <c:v>96.9</c:v>
                </c:pt>
                <c:pt idx="36">
                  <c:v>92.2</c:v>
                </c:pt>
                <c:pt idx="37">
                  <c:v>83.7</c:v>
                </c:pt>
                <c:pt idx="38">
                  <c:v>86.4</c:v>
                </c:pt>
                <c:pt idx="39">
                  <c:v>87.2</c:v>
                </c:pt>
                <c:pt idx="40">
                  <c:v>82.1</c:v>
                </c:pt>
                <c:pt idx="41">
                  <c:v>82.5</c:v>
                </c:pt>
                <c:pt idx="42">
                  <c:v>94.6</c:v>
                </c:pt>
                <c:pt idx="43">
                  <c:v>82.7</c:v>
                </c:pt>
                <c:pt idx="44">
                  <c:v>83.5</c:v>
                </c:pt>
                <c:pt idx="45">
                  <c:v>94.2</c:v>
                </c:pt>
                <c:pt idx="46">
                  <c:v>80.7</c:v>
                </c:pt>
                <c:pt idx="47">
                  <c:v>100</c:v>
                </c:pt>
                <c:pt idx="48">
                  <c:v>86.9</c:v>
                </c:pt>
                <c:pt idx="49">
                  <c:v>89</c:v>
                </c:pt>
                <c:pt idx="50">
                  <c:v>90</c:v>
                </c:pt>
                <c:pt idx="51">
                  <c:v>100</c:v>
                </c:pt>
                <c:pt idx="52">
                  <c:v>98.9</c:v>
                </c:pt>
                <c:pt idx="53">
                  <c:v>97.1</c:v>
                </c:pt>
                <c:pt idx="54">
                  <c:v>89.3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7-A401-4D8B-AE57-DD9E51A9FDA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08047599"/>
        <c:axId val="1408047119"/>
      </c:scatterChart>
      <c:valAx>
        <c:axId val="140804759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hu-HU"/>
          </a:p>
        </c:txPr>
        <c:crossAx val="1408047119"/>
        <c:crosses val="autoZero"/>
        <c:crossBetween val="midCat"/>
      </c:valAx>
      <c:valAx>
        <c:axId val="1408047119"/>
        <c:scaling>
          <c:orientation val="minMax"/>
          <c:max val="100"/>
          <c:min val="6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&quot; %&quot;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hu-HU"/>
          </a:p>
        </c:txPr>
        <c:crossAx val="140804759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3660043254192421"/>
          <c:y val="0.94332374393780305"/>
          <c:w val="0.23931079344913303"/>
          <c:h val="1.488785737718241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hu-HU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hu-HU"/>
    </a:p>
  </c:txPr>
  <c:userShapes r:id="rId3"/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hu-H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hu-HU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Tests with </a:t>
            </a:r>
            <a:r>
              <a:rPr lang="hu-HU"/>
              <a:t>4 bugs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hu-HU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rgbClr val="FF0000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0-CAA9-4429-8694-44DBC624FE5B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rgbClr val="FF0000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CAA9-4429-8694-44DBC624FE5B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rgbClr val="FF0000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2-CAA9-4429-8694-44DBC624FE5B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rgbClr val="FF0000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3-CAA9-4429-8694-44DBC624FE5B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rgbClr val="FF0000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4-CAA9-4429-8694-44DBC624FE5B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rgbClr val="FF0000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5-CAA9-4429-8694-44DBC624FE5B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rgbClr val="FF0000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6-CAA9-4429-8694-44DBC624FE5B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rgbClr val="FF0000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7-CAA9-4429-8694-44DBC624FE5B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rgbClr val="FF0000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8-CAA9-4429-8694-44DBC624FE5B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rgbClr val="FF0000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9-CAA9-4429-8694-44DBC624FE5B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rgbClr val="00FF00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A-CAA9-4429-8694-44DBC624FE5B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rgbClr val="00FF00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B-CAA9-4429-8694-44DBC624FE5B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rgbClr val="00FF00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C-CAA9-4429-8694-44DBC624FE5B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rgbClr val="00FF00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D-CAA9-4429-8694-44DBC624FE5B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rgbClr val="00FF00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E-CAA9-4429-8694-44DBC624FE5B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rgbClr val="00FF00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F-CAA9-4429-8694-44DBC624FE5B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rgbClr val="00FF00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10-CAA9-4429-8694-44DBC624FE5B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rgbClr val="00FF00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11-CAA9-4429-8694-44DBC624FE5B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rgbClr val="00FF00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12-CAA9-4429-8694-44DBC624FE5B}"/>
              </c:ext>
            </c:extLst>
          </c:dPt>
          <c:dPt>
            <c:idx val="19"/>
            <c:marker>
              <c:symbol val="circle"/>
              <c:size val="5"/>
              <c:spPr>
                <a:solidFill>
                  <a:srgbClr val="00FF00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13-CAA9-4429-8694-44DBC624FE5B}"/>
              </c:ext>
            </c:extLst>
          </c:dPt>
          <c:dPt>
            <c:idx val="20"/>
            <c:marker>
              <c:symbol val="circle"/>
              <c:size val="5"/>
              <c:spPr>
                <a:solidFill>
                  <a:srgbClr val="0000FF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14-CAA9-4429-8694-44DBC624FE5B}"/>
              </c:ext>
            </c:extLst>
          </c:dPt>
          <c:dPt>
            <c:idx val="21"/>
            <c:marker>
              <c:symbol val="circle"/>
              <c:size val="5"/>
              <c:spPr>
                <a:solidFill>
                  <a:srgbClr val="0000FF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15-CAA9-4429-8694-44DBC624FE5B}"/>
              </c:ext>
            </c:extLst>
          </c:dPt>
          <c:dPt>
            <c:idx val="22"/>
            <c:marker>
              <c:symbol val="circle"/>
              <c:size val="5"/>
              <c:spPr>
                <a:solidFill>
                  <a:srgbClr val="0000FF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16-CAA9-4429-8694-44DBC624FE5B}"/>
              </c:ext>
            </c:extLst>
          </c:dPt>
          <c:dPt>
            <c:idx val="23"/>
            <c:marker>
              <c:symbol val="circle"/>
              <c:size val="5"/>
              <c:spPr>
                <a:solidFill>
                  <a:srgbClr val="0000FF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17-CAA9-4429-8694-44DBC624FE5B}"/>
              </c:ext>
            </c:extLst>
          </c:dPt>
          <c:dPt>
            <c:idx val="24"/>
            <c:marker>
              <c:symbol val="circle"/>
              <c:size val="5"/>
              <c:spPr>
                <a:solidFill>
                  <a:srgbClr val="0000FF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18-CAA9-4429-8694-44DBC624FE5B}"/>
              </c:ext>
            </c:extLst>
          </c:dPt>
          <c:dPt>
            <c:idx val="25"/>
            <c:marker>
              <c:symbol val="circle"/>
              <c:size val="5"/>
              <c:spPr>
                <a:solidFill>
                  <a:srgbClr val="0000FF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19-CAA9-4429-8694-44DBC624FE5B}"/>
              </c:ext>
            </c:extLst>
          </c:dPt>
          <c:dPt>
            <c:idx val="26"/>
            <c:marker>
              <c:symbol val="circle"/>
              <c:size val="5"/>
              <c:spPr>
                <a:solidFill>
                  <a:srgbClr val="0000FF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1A-CAA9-4429-8694-44DBC624FE5B}"/>
              </c:ext>
            </c:extLst>
          </c:dPt>
          <c:dPt>
            <c:idx val="27"/>
            <c:marker>
              <c:symbol val="circle"/>
              <c:size val="5"/>
              <c:spPr>
                <a:solidFill>
                  <a:srgbClr val="0000FF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1B-CAA9-4429-8694-44DBC624FE5B}"/>
              </c:ext>
            </c:extLst>
          </c:dPt>
          <c:dPt>
            <c:idx val="28"/>
            <c:marker>
              <c:symbol val="circle"/>
              <c:size val="5"/>
              <c:spPr>
                <a:solidFill>
                  <a:srgbClr val="0000FF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1C-CAA9-4429-8694-44DBC624FE5B}"/>
              </c:ext>
            </c:extLst>
          </c:dPt>
          <c:dPt>
            <c:idx val="29"/>
            <c:marker>
              <c:symbol val="circle"/>
              <c:size val="5"/>
              <c:spPr>
                <a:solidFill>
                  <a:srgbClr val="0000FF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1D-CAA9-4429-8694-44DBC624FE5B}"/>
              </c:ext>
            </c:extLst>
          </c:dPt>
          <c:dPt>
            <c:idx val="30"/>
            <c:marker>
              <c:symbol val="circle"/>
              <c:size val="5"/>
              <c:spPr>
                <a:solidFill>
                  <a:srgbClr val="FFFF00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1E-CAA9-4429-8694-44DBC624FE5B}"/>
              </c:ext>
            </c:extLst>
          </c:dPt>
          <c:dPt>
            <c:idx val="31"/>
            <c:marker>
              <c:symbol val="circle"/>
              <c:size val="5"/>
              <c:spPr>
                <a:solidFill>
                  <a:srgbClr val="FFFF00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1F-CAA9-4429-8694-44DBC624FE5B}"/>
              </c:ext>
            </c:extLst>
          </c:dPt>
          <c:dPt>
            <c:idx val="32"/>
            <c:marker>
              <c:symbol val="circle"/>
              <c:size val="5"/>
              <c:spPr>
                <a:solidFill>
                  <a:srgbClr val="FFFF00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0-CAA9-4429-8694-44DBC624FE5B}"/>
              </c:ext>
            </c:extLst>
          </c:dPt>
          <c:dPt>
            <c:idx val="33"/>
            <c:marker>
              <c:symbol val="circle"/>
              <c:size val="5"/>
              <c:spPr>
                <a:solidFill>
                  <a:srgbClr val="FFFF00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1-CAA9-4429-8694-44DBC624FE5B}"/>
              </c:ext>
            </c:extLst>
          </c:dPt>
          <c:dPt>
            <c:idx val="34"/>
            <c:marker>
              <c:symbol val="circle"/>
              <c:size val="5"/>
              <c:spPr>
                <a:solidFill>
                  <a:srgbClr val="FFFF00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2-CAA9-4429-8694-44DBC624FE5B}"/>
              </c:ext>
            </c:extLst>
          </c:dPt>
          <c:dPt>
            <c:idx val="35"/>
            <c:marker>
              <c:symbol val="circle"/>
              <c:size val="5"/>
              <c:spPr>
                <a:solidFill>
                  <a:srgbClr val="FFFF00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3-CAA9-4429-8694-44DBC624FE5B}"/>
              </c:ext>
            </c:extLst>
          </c:dPt>
          <c:dPt>
            <c:idx val="36"/>
            <c:marker>
              <c:symbol val="circle"/>
              <c:size val="5"/>
              <c:spPr>
                <a:solidFill>
                  <a:srgbClr val="FFFF00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4-CAA9-4429-8694-44DBC624FE5B}"/>
              </c:ext>
            </c:extLst>
          </c:dPt>
          <c:dPt>
            <c:idx val="37"/>
            <c:marker>
              <c:symbol val="circle"/>
              <c:size val="5"/>
              <c:spPr>
                <a:solidFill>
                  <a:srgbClr val="FFFF00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5-CAA9-4429-8694-44DBC624FE5B}"/>
              </c:ext>
            </c:extLst>
          </c:dPt>
          <c:dPt>
            <c:idx val="38"/>
            <c:marker>
              <c:symbol val="circle"/>
              <c:size val="5"/>
              <c:spPr>
                <a:solidFill>
                  <a:srgbClr val="FFFF00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CAA9-4429-8694-44DBC624FE5B}"/>
              </c:ext>
            </c:extLst>
          </c:dPt>
          <c:dPt>
            <c:idx val="39"/>
            <c:marker>
              <c:symbol val="circle"/>
              <c:size val="5"/>
              <c:spPr>
                <a:solidFill>
                  <a:srgbClr val="FFFF00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CAA9-4429-8694-44DBC624FE5B}"/>
              </c:ext>
            </c:extLst>
          </c:dPt>
          <c:dPt>
            <c:idx val="40"/>
            <c:marker>
              <c:symbol val="circle"/>
              <c:size val="5"/>
              <c:spPr>
                <a:solidFill>
                  <a:srgbClr val="00FFFF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CAA9-4429-8694-44DBC624FE5B}"/>
              </c:ext>
            </c:extLst>
          </c:dPt>
          <c:dPt>
            <c:idx val="41"/>
            <c:marker>
              <c:symbol val="circle"/>
              <c:size val="5"/>
              <c:spPr>
                <a:solidFill>
                  <a:srgbClr val="00FFFF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CAA9-4429-8694-44DBC624FE5B}"/>
              </c:ext>
            </c:extLst>
          </c:dPt>
          <c:dPt>
            <c:idx val="42"/>
            <c:marker>
              <c:symbol val="circle"/>
              <c:size val="5"/>
              <c:spPr>
                <a:solidFill>
                  <a:srgbClr val="00FFFF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CAA9-4429-8694-44DBC624FE5B}"/>
              </c:ext>
            </c:extLst>
          </c:dPt>
          <c:dPt>
            <c:idx val="43"/>
            <c:marker>
              <c:symbol val="circle"/>
              <c:size val="5"/>
              <c:spPr>
                <a:solidFill>
                  <a:srgbClr val="00FFFF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CAA9-4429-8694-44DBC624FE5B}"/>
              </c:ext>
            </c:extLst>
          </c:dPt>
          <c:dPt>
            <c:idx val="44"/>
            <c:marker>
              <c:symbol val="circle"/>
              <c:size val="5"/>
              <c:spPr>
                <a:solidFill>
                  <a:srgbClr val="00FFFF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CAA9-4429-8694-44DBC624FE5B}"/>
              </c:ext>
            </c:extLst>
          </c:dPt>
          <c:dPt>
            <c:idx val="45"/>
            <c:marker>
              <c:symbol val="circle"/>
              <c:size val="5"/>
              <c:spPr>
                <a:solidFill>
                  <a:srgbClr val="00FFFF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CAA9-4429-8694-44DBC624FE5B}"/>
              </c:ext>
            </c:extLst>
          </c:dPt>
          <c:dPt>
            <c:idx val="46"/>
            <c:marker>
              <c:symbol val="circle"/>
              <c:size val="5"/>
              <c:spPr>
                <a:solidFill>
                  <a:srgbClr val="00FFFF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CAA9-4429-8694-44DBC624FE5B}"/>
              </c:ext>
            </c:extLst>
          </c:dPt>
          <c:dPt>
            <c:idx val="47"/>
            <c:marker>
              <c:symbol val="circle"/>
              <c:size val="5"/>
              <c:spPr>
                <a:solidFill>
                  <a:srgbClr val="00FFFF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CAA9-4429-8694-44DBC624FE5B}"/>
              </c:ext>
            </c:extLst>
          </c:dPt>
          <c:dPt>
            <c:idx val="48"/>
            <c:marker>
              <c:symbol val="circle"/>
              <c:size val="5"/>
              <c:spPr>
                <a:solidFill>
                  <a:srgbClr val="00FFFF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CAA9-4429-8694-44DBC624FE5B}"/>
              </c:ext>
            </c:extLst>
          </c:dPt>
          <c:dPt>
            <c:idx val="49"/>
            <c:marker>
              <c:symbol val="circle"/>
              <c:size val="5"/>
              <c:spPr>
                <a:solidFill>
                  <a:srgbClr val="00FFFF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CAA9-4429-8694-44DBC624FE5B}"/>
              </c:ext>
            </c:extLst>
          </c:dPt>
          <c:xVal>
            <c:numRef>
              <c:f>tests!$D$142:$D$191</c:f>
              <c:numCache>
                <c:formatCode>General</c:formatCode>
                <c:ptCount val="50"/>
                <c:pt idx="0">
                  <c:v>5.27</c:v>
                </c:pt>
                <c:pt idx="1">
                  <c:v>5.23</c:v>
                </c:pt>
                <c:pt idx="2">
                  <c:v>6.48</c:v>
                </c:pt>
                <c:pt idx="3">
                  <c:v>6.42</c:v>
                </c:pt>
                <c:pt idx="4">
                  <c:v>5.74</c:v>
                </c:pt>
                <c:pt idx="5">
                  <c:v>5.68</c:v>
                </c:pt>
                <c:pt idx="6">
                  <c:v>4.87</c:v>
                </c:pt>
                <c:pt idx="7">
                  <c:v>5.87</c:v>
                </c:pt>
                <c:pt idx="8">
                  <c:v>7.4</c:v>
                </c:pt>
                <c:pt idx="9">
                  <c:v>6.47</c:v>
                </c:pt>
                <c:pt idx="10">
                  <c:v>6.51</c:v>
                </c:pt>
                <c:pt idx="11">
                  <c:v>6.18</c:v>
                </c:pt>
                <c:pt idx="12">
                  <c:v>6.05</c:v>
                </c:pt>
                <c:pt idx="13">
                  <c:v>6.04</c:v>
                </c:pt>
                <c:pt idx="14">
                  <c:v>6.63</c:v>
                </c:pt>
                <c:pt idx="15">
                  <c:v>5.35</c:v>
                </c:pt>
                <c:pt idx="16">
                  <c:v>5.69</c:v>
                </c:pt>
                <c:pt idx="17">
                  <c:v>5.63</c:v>
                </c:pt>
                <c:pt idx="18">
                  <c:v>5.57</c:v>
                </c:pt>
                <c:pt idx="19">
                  <c:v>4.9800000000000004</c:v>
                </c:pt>
                <c:pt idx="20">
                  <c:v>5.0199999999999996</c:v>
                </c:pt>
                <c:pt idx="21">
                  <c:v>4.9400000000000004</c:v>
                </c:pt>
                <c:pt idx="22">
                  <c:v>5.13</c:v>
                </c:pt>
                <c:pt idx="23">
                  <c:v>5.08</c:v>
                </c:pt>
                <c:pt idx="24">
                  <c:v>4.17</c:v>
                </c:pt>
                <c:pt idx="25">
                  <c:v>4.34</c:v>
                </c:pt>
                <c:pt idx="26">
                  <c:v>4.9400000000000004</c:v>
                </c:pt>
                <c:pt idx="27">
                  <c:v>5.42</c:v>
                </c:pt>
                <c:pt idx="28">
                  <c:v>4.91</c:v>
                </c:pt>
                <c:pt idx="29">
                  <c:v>5.46</c:v>
                </c:pt>
                <c:pt idx="30">
                  <c:v>4.54</c:v>
                </c:pt>
                <c:pt idx="31">
                  <c:v>3.43</c:v>
                </c:pt>
                <c:pt idx="32">
                  <c:v>4.91</c:v>
                </c:pt>
                <c:pt idx="33">
                  <c:v>3.52</c:v>
                </c:pt>
                <c:pt idx="34">
                  <c:v>2.85</c:v>
                </c:pt>
                <c:pt idx="35">
                  <c:v>3.63</c:v>
                </c:pt>
                <c:pt idx="36">
                  <c:v>4.51</c:v>
                </c:pt>
                <c:pt idx="37">
                  <c:v>3.76</c:v>
                </c:pt>
                <c:pt idx="38">
                  <c:v>4.46</c:v>
                </c:pt>
                <c:pt idx="39">
                  <c:v>1.97</c:v>
                </c:pt>
                <c:pt idx="40">
                  <c:v>6.09</c:v>
                </c:pt>
                <c:pt idx="41">
                  <c:v>5.57</c:v>
                </c:pt>
                <c:pt idx="42">
                  <c:v>5.59</c:v>
                </c:pt>
                <c:pt idx="43">
                  <c:v>5.4</c:v>
                </c:pt>
                <c:pt idx="44">
                  <c:v>4.66</c:v>
                </c:pt>
                <c:pt idx="45">
                  <c:v>4.51</c:v>
                </c:pt>
                <c:pt idx="46">
                  <c:v>3.98</c:v>
                </c:pt>
                <c:pt idx="47">
                  <c:v>4.46</c:v>
                </c:pt>
                <c:pt idx="48">
                  <c:v>6.03</c:v>
                </c:pt>
                <c:pt idx="49">
                  <c:v>5.25</c:v>
                </c:pt>
              </c:numCache>
            </c:numRef>
          </c:xVal>
          <c:yVal>
            <c:numRef>
              <c:f>tests!$E$142:$E$191</c:f>
              <c:numCache>
                <c:formatCode>General</c:formatCode>
                <c:ptCount val="50"/>
                <c:pt idx="0">
                  <c:v>72.8</c:v>
                </c:pt>
                <c:pt idx="1">
                  <c:v>98.3</c:v>
                </c:pt>
                <c:pt idx="2">
                  <c:v>87.6</c:v>
                </c:pt>
                <c:pt idx="3">
                  <c:v>96.2</c:v>
                </c:pt>
                <c:pt idx="4">
                  <c:v>71.8</c:v>
                </c:pt>
                <c:pt idx="5">
                  <c:v>98.3</c:v>
                </c:pt>
                <c:pt idx="6">
                  <c:v>87.8</c:v>
                </c:pt>
                <c:pt idx="7">
                  <c:v>82.1</c:v>
                </c:pt>
                <c:pt idx="8">
                  <c:v>88.4</c:v>
                </c:pt>
                <c:pt idx="9">
                  <c:v>84.7</c:v>
                </c:pt>
                <c:pt idx="10">
                  <c:v>88.6</c:v>
                </c:pt>
                <c:pt idx="11">
                  <c:v>84.6</c:v>
                </c:pt>
                <c:pt idx="12">
                  <c:v>89.3</c:v>
                </c:pt>
                <c:pt idx="13">
                  <c:v>100</c:v>
                </c:pt>
                <c:pt idx="14">
                  <c:v>87.1</c:v>
                </c:pt>
                <c:pt idx="15">
                  <c:v>93.6</c:v>
                </c:pt>
                <c:pt idx="16">
                  <c:v>97.2</c:v>
                </c:pt>
                <c:pt idx="17">
                  <c:v>100</c:v>
                </c:pt>
                <c:pt idx="18">
                  <c:v>78.599999999999994</c:v>
                </c:pt>
                <c:pt idx="19">
                  <c:v>97.2</c:v>
                </c:pt>
                <c:pt idx="20">
                  <c:v>90.4</c:v>
                </c:pt>
                <c:pt idx="21">
                  <c:v>89</c:v>
                </c:pt>
                <c:pt idx="22">
                  <c:v>78.5</c:v>
                </c:pt>
                <c:pt idx="23">
                  <c:v>76.7</c:v>
                </c:pt>
                <c:pt idx="24">
                  <c:v>80.8</c:v>
                </c:pt>
                <c:pt idx="25">
                  <c:v>80.400000000000006</c:v>
                </c:pt>
                <c:pt idx="26">
                  <c:v>89.7</c:v>
                </c:pt>
                <c:pt idx="27">
                  <c:v>75.599999999999994</c:v>
                </c:pt>
                <c:pt idx="28">
                  <c:v>87.2</c:v>
                </c:pt>
                <c:pt idx="29">
                  <c:v>82.2</c:v>
                </c:pt>
                <c:pt idx="30">
                  <c:v>92.7</c:v>
                </c:pt>
                <c:pt idx="31">
                  <c:v>90.9</c:v>
                </c:pt>
                <c:pt idx="32">
                  <c:v>81.7</c:v>
                </c:pt>
                <c:pt idx="33">
                  <c:v>87.8</c:v>
                </c:pt>
                <c:pt idx="34">
                  <c:v>87.3</c:v>
                </c:pt>
                <c:pt idx="35">
                  <c:v>88.5</c:v>
                </c:pt>
                <c:pt idx="36">
                  <c:v>87.7</c:v>
                </c:pt>
                <c:pt idx="37">
                  <c:v>88.7</c:v>
                </c:pt>
                <c:pt idx="38">
                  <c:v>91.2</c:v>
                </c:pt>
                <c:pt idx="39">
                  <c:v>81.099999999999994</c:v>
                </c:pt>
                <c:pt idx="40">
                  <c:v>100</c:v>
                </c:pt>
                <c:pt idx="41">
                  <c:v>92.5</c:v>
                </c:pt>
                <c:pt idx="42">
                  <c:v>100</c:v>
                </c:pt>
                <c:pt idx="43">
                  <c:v>100</c:v>
                </c:pt>
                <c:pt idx="44">
                  <c:v>100</c:v>
                </c:pt>
                <c:pt idx="45">
                  <c:v>100</c:v>
                </c:pt>
                <c:pt idx="46">
                  <c:v>100</c:v>
                </c:pt>
                <c:pt idx="47">
                  <c:v>100</c:v>
                </c:pt>
                <c:pt idx="48">
                  <c:v>100</c:v>
                </c:pt>
                <c:pt idx="49">
                  <c:v>92.7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2-CAA9-4429-8694-44DBC624FE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05310927"/>
        <c:axId val="1608463183"/>
      </c:scatterChart>
      <c:valAx>
        <c:axId val="140531092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hu-HU"/>
          </a:p>
        </c:txPr>
        <c:crossAx val="1608463183"/>
        <c:crosses val="autoZero"/>
        <c:crossBetween val="midCat"/>
      </c:valAx>
      <c:valAx>
        <c:axId val="1608463183"/>
        <c:scaling>
          <c:orientation val="minMax"/>
          <c:max val="100"/>
          <c:min val="6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&quot; %&quot;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hu-HU"/>
          </a:p>
        </c:txPr>
        <c:crossAx val="140531092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27215115889554803"/>
          <c:y val="0.95142049296490661"/>
          <c:w val="0.43111434874114735"/>
          <c:h val="3.604298742958900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hu-HU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hu-HU"/>
    </a:p>
  </c:txPr>
  <c:userShapes r:id="rId3"/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hu-H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hu-HU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Tests with </a:t>
            </a:r>
            <a:r>
              <a:rPr lang="hu-HU"/>
              <a:t>5 bugs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hu-HU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rgbClr val="FF0000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0-F4B0-438C-A2D9-3BCAD50AD2DC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rgbClr val="FF0000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F4B0-438C-A2D9-3BCAD50AD2DC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rgbClr val="FF0000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2-F4B0-438C-A2D9-3BCAD50AD2DC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rgbClr val="FF0000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3-F4B0-438C-A2D9-3BCAD50AD2DC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rgbClr val="FF0000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4-F4B0-438C-A2D9-3BCAD50AD2DC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rgbClr val="FF0000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5-F4B0-438C-A2D9-3BCAD50AD2DC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rgbClr val="00FF00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6-F4B0-438C-A2D9-3BCAD50AD2DC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rgbClr val="00FF00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7-F4B0-438C-A2D9-3BCAD50AD2DC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rgbClr val="00FF00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8-F4B0-438C-A2D9-3BCAD50AD2DC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rgbClr val="00FF00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9-F4B0-438C-A2D9-3BCAD50AD2DC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rgbClr val="00FF00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A-F4B0-438C-A2D9-3BCAD50AD2DC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rgbClr val="00FF00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B-F4B0-438C-A2D9-3BCAD50AD2DC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rgbClr val="0000FF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C-F4B0-438C-A2D9-3BCAD50AD2DC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rgbClr val="0000FF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D-F4B0-438C-A2D9-3BCAD50AD2DC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rgbClr val="0000FF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E-F4B0-438C-A2D9-3BCAD50AD2DC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rgbClr val="0000FF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F-F4B0-438C-A2D9-3BCAD50AD2DC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rgbClr val="0000FF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10-F4B0-438C-A2D9-3BCAD50AD2DC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rgbClr val="0000FF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11-F4B0-438C-A2D9-3BCAD50AD2DC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rgbClr val="FFFF00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12-F4B0-438C-A2D9-3BCAD50AD2DC}"/>
              </c:ext>
            </c:extLst>
          </c:dPt>
          <c:dPt>
            <c:idx val="19"/>
            <c:marker>
              <c:symbol val="circle"/>
              <c:size val="5"/>
              <c:spPr>
                <a:solidFill>
                  <a:srgbClr val="FFFF00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13-F4B0-438C-A2D9-3BCAD50AD2DC}"/>
              </c:ext>
            </c:extLst>
          </c:dPt>
          <c:dPt>
            <c:idx val="20"/>
            <c:marker>
              <c:symbol val="circle"/>
              <c:size val="5"/>
              <c:spPr>
                <a:solidFill>
                  <a:srgbClr val="FFFF00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14-F4B0-438C-A2D9-3BCAD50AD2DC}"/>
              </c:ext>
            </c:extLst>
          </c:dPt>
          <c:dPt>
            <c:idx val="21"/>
            <c:marker>
              <c:symbol val="circle"/>
              <c:size val="5"/>
              <c:spPr>
                <a:solidFill>
                  <a:srgbClr val="FFFF00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15-F4B0-438C-A2D9-3BCAD50AD2DC}"/>
              </c:ext>
            </c:extLst>
          </c:dPt>
          <c:dPt>
            <c:idx val="22"/>
            <c:marker>
              <c:symbol val="circle"/>
              <c:size val="5"/>
              <c:spPr>
                <a:solidFill>
                  <a:srgbClr val="FFFF00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16-F4B0-438C-A2D9-3BCAD50AD2DC}"/>
              </c:ext>
            </c:extLst>
          </c:dPt>
          <c:dPt>
            <c:idx val="23"/>
            <c:marker>
              <c:symbol val="circle"/>
              <c:size val="5"/>
              <c:spPr>
                <a:solidFill>
                  <a:srgbClr val="FFFF00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17-F4B0-438C-A2D9-3BCAD50AD2DC}"/>
              </c:ext>
            </c:extLst>
          </c:dPt>
          <c:dPt>
            <c:idx val="24"/>
            <c:marker>
              <c:symbol val="circle"/>
              <c:size val="5"/>
              <c:spPr>
                <a:solidFill>
                  <a:srgbClr val="00FFFF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18-F4B0-438C-A2D9-3BCAD50AD2DC}"/>
              </c:ext>
            </c:extLst>
          </c:dPt>
          <c:dPt>
            <c:idx val="25"/>
            <c:marker>
              <c:symbol val="circle"/>
              <c:size val="5"/>
              <c:spPr>
                <a:solidFill>
                  <a:srgbClr val="00FFFF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19-F4B0-438C-A2D9-3BCAD50AD2DC}"/>
              </c:ext>
            </c:extLst>
          </c:dPt>
          <c:dPt>
            <c:idx val="26"/>
            <c:marker>
              <c:symbol val="circle"/>
              <c:size val="5"/>
              <c:spPr>
                <a:solidFill>
                  <a:srgbClr val="00FFFF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1A-F4B0-438C-A2D9-3BCAD50AD2DC}"/>
              </c:ext>
            </c:extLst>
          </c:dPt>
          <c:dPt>
            <c:idx val="27"/>
            <c:marker>
              <c:symbol val="circle"/>
              <c:size val="5"/>
              <c:spPr>
                <a:solidFill>
                  <a:srgbClr val="00FFFF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1B-F4B0-438C-A2D9-3BCAD50AD2DC}"/>
              </c:ext>
            </c:extLst>
          </c:dPt>
          <c:dPt>
            <c:idx val="28"/>
            <c:marker>
              <c:symbol val="circle"/>
              <c:size val="5"/>
              <c:spPr>
                <a:solidFill>
                  <a:srgbClr val="00FFFF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1C-F4B0-438C-A2D9-3BCAD50AD2DC}"/>
              </c:ext>
            </c:extLst>
          </c:dPt>
          <c:dPt>
            <c:idx val="29"/>
            <c:marker>
              <c:symbol val="circle"/>
              <c:size val="5"/>
              <c:spPr>
                <a:solidFill>
                  <a:srgbClr val="00FFFF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1D-F4B0-438C-A2D9-3BCAD50AD2DC}"/>
              </c:ext>
            </c:extLst>
          </c:dPt>
          <c:xVal>
            <c:numRef>
              <c:f>tests!$D$192:$D$221</c:f>
              <c:numCache>
                <c:formatCode>General</c:formatCode>
                <c:ptCount val="30"/>
                <c:pt idx="0">
                  <c:v>6.74</c:v>
                </c:pt>
                <c:pt idx="1">
                  <c:v>7.65</c:v>
                </c:pt>
                <c:pt idx="2">
                  <c:v>5.97</c:v>
                </c:pt>
                <c:pt idx="3">
                  <c:v>6.53</c:v>
                </c:pt>
                <c:pt idx="4">
                  <c:v>6.62</c:v>
                </c:pt>
                <c:pt idx="5">
                  <c:v>6.86</c:v>
                </c:pt>
                <c:pt idx="6">
                  <c:v>6.18</c:v>
                </c:pt>
                <c:pt idx="7">
                  <c:v>5.84</c:v>
                </c:pt>
                <c:pt idx="8">
                  <c:v>5.07</c:v>
                </c:pt>
                <c:pt idx="9">
                  <c:v>6.35</c:v>
                </c:pt>
                <c:pt idx="10">
                  <c:v>5.97</c:v>
                </c:pt>
                <c:pt idx="11">
                  <c:v>6.08</c:v>
                </c:pt>
                <c:pt idx="12">
                  <c:v>5.33</c:v>
                </c:pt>
                <c:pt idx="13">
                  <c:v>4.93</c:v>
                </c:pt>
                <c:pt idx="14">
                  <c:v>4.16</c:v>
                </c:pt>
                <c:pt idx="15">
                  <c:v>5.83</c:v>
                </c:pt>
                <c:pt idx="16">
                  <c:v>5.0599999999999996</c:v>
                </c:pt>
                <c:pt idx="17">
                  <c:v>4.62</c:v>
                </c:pt>
                <c:pt idx="18">
                  <c:v>4.22</c:v>
                </c:pt>
                <c:pt idx="19">
                  <c:v>5.18</c:v>
                </c:pt>
                <c:pt idx="20">
                  <c:v>5.31</c:v>
                </c:pt>
                <c:pt idx="21">
                  <c:v>5.16</c:v>
                </c:pt>
                <c:pt idx="22">
                  <c:v>3.79</c:v>
                </c:pt>
                <c:pt idx="23">
                  <c:v>5.0599999999999996</c:v>
                </c:pt>
                <c:pt idx="24">
                  <c:v>4.53</c:v>
                </c:pt>
                <c:pt idx="25">
                  <c:v>5.34</c:v>
                </c:pt>
                <c:pt idx="26">
                  <c:v>6.02</c:v>
                </c:pt>
                <c:pt idx="27">
                  <c:v>4.7</c:v>
                </c:pt>
                <c:pt idx="28">
                  <c:v>6.53</c:v>
                </c:pt>
                <c:pt idx="29">
                  <c:v>5.79</c:v>
                </c:pt>
              </c:numCache>
            </c:numRef>
          </c:xVal>
          <c:yVal>
            <c:numRef>
              <c:f>tests!$E$192:$E$221</c:f>
              <c:numCache>
                <c:formatCode>General</c:formatCode>
                <c:ptCount val="30"/>
                <c:pt idx="0">
                  <c:v>100</c:v>
                </c:pt>
                <c:pt idx="1">
                  <c:v>89.5</c:v>
                </c:pt>
                <c:pt idx="2">
                  <c:v>100</c:v>
                </c:pt>
                <c:pt idx="3">
                  <c:v>94.8</c:v>
                </c:pt>
                <c:pt idx="4">
                  <c:v>84.1</c:v>
                </c:pt>
                <c:pt idx="5">
                  <c:v>85.1</c:v>
                </c:pt>
                <c:pt idx="6">
                  <c:v>100</c:v>
                </c:pt>
                <c:pt idx="7">
                  <c:v>100</c:v>
                </c:pt>
                <c:pt idx="8">
                  <c:v>95.7</c:v>
                </c:pt>
                <c:pt idx="9">
                  <c:v>100</c:v>
                </c:pt>
                <c:pt idx="10">
                  <c:v>86.9</c:v>
                </c:pt>
                <c:pt idx="11">
                  <c:v>100</c:v>
                </c:pt>
                <c:pt idx="12">
                  <c:v>81.8</c:v>
                </c:pt>
                <c:pt idx="13">
                  <c:v>90.5</c:v>
                </c:pt>
                <c:pt idx="14">
                  <c:v>100</c:v>
                </c:pt>
                <c:pt idx="15">
                  <c:v>97.7</c:v>
                </c:pt>
                <c:pt idx="16">
                  <c:v>100</c:v>
                </c:pt>
                <c:pt idx="17">
                  <c:v>88.8</c:v>
                </c:pt>
                <c:pt idx="18">
                  <c:v>91.4</c:v>
                </c:pt>
                <c:pt idx="19">
                  <c:v>98</c:v>
                </c:pt>
                <c:pt idx="20">
                  <c:v>90.3</c:v>
                </c:pt>
                <c:pt idx="21">
                  <c:v>92.6</c:v>
                </c:pt>
                <c:pt idx="22">
                  <c:v>87.3</c:v>
                </c:pt>
                <c:pt idx="23">
                  <c:v>97.9</c:v>
                </c:pt>
                <c:pt idx="24">
                  <c:v>100</c:v>
                </c:pt>
                <c:pt idx="25">
                  <c:v>100</c:v>
                </c:pt>
                <c:pt idx="26">
                  <c:v>100</c:v>
                </c:pt>
                <c:pt idx="27">
                  <c:v>97.6</c:v>
                </c:pt>
                <c:pt idx="28">
                  <c:v>100</c:v>
                </c:pt>
                <c:pt idx="29">
                  <c:v>100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E-F4B0-438C-A2D9-3BCAD50AD2D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86348863"/>
        <c:axId val="1386358943"/>
      </c:scatterChart>
      <c:valAx>
        <c:axId val="13863488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hu-HU"/>
          </a:p>
        </c:txPr>
        <c:crossAx val="1386358943"/>
        <c:crosses val="autoZero"/>
        <c:crossBetween val="midCat"/>
      </c:valAx>
      <c:valAx>
        <c:axId val="1386358943"/>
        <c:scaling>
          <c:orientation val="minMax"/>
          <c:max val="100"/>
          <c:min val="6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&quot; %&quot;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hu-HU"/>
          </a:p>
        </c:txPr>
        <c:crossAx val="138634886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23470596267001528"/>
          <c:y val="0.95345562094310932"/>
          <c:w val="0.53058796714892542"/>
          <c:h val="3.399321907934440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hu-HU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hu-HU"/>
    </a:p>
  </c:txPr>
  <c:userShapes r:id="rId3"/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hu-H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hu-HU"/>
              <a:t>Avg patch accuracy/bug count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hu-HU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tests!$M$3</c:f>
              <c:strCache>
                <c:ptCount val="1"/>
                <c:pt idx="0">
                  <c:v>ChatGPT</c:v>
                </c:pt>
              </c:strCache>
            </c:strRef>
          </c:tx>
          <c:spPr>
            <a:ln w="28575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tests!$N$2:$R$2</c:f>
              <c:numCache>
                <c:formatCode>General</c:formatCode>
                <c:ptCount val="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</c:numCache>
            </c:numRef>
          </c:cat>
          <c:val>
            <c:numRef>
              <c:f>tests!$N$3:$R$3</c:f>
              <c:numCache>
                <c:formatCode>General</c:formatCode>
                <c:ptCount val="5"/>
                <c:pt idx="0">
                  <c:v>67.233333333333334</c:v>
                </c:pt>
                <c:pt idx="1">
                  <c:v>73.263636363636365</c:v>
                </c:pt>
                <c:pt idx="2">
                  <c:v>81.063636363636363</c:v>
                </c:pt>
                <c:pt idx="3">
                  <c:v>86.8</c:v>
                </c:pt>
                <c:pt idx="4">
                  <c:v>92.25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226-477D-BFAF-BB924E0CD6BD}"/>
            </c:ext>
          </c:extLst>
        </c:ser>
        <c:ser>
          <c:idx val="1"/>
          <c:order val="1"/>
          <c:tx>
            <c:strRef>
              <c:f>tests!$M$4</c:f>
              <c:strCache>
                <c:ptCount val="1"/>
                <c:pt idx="0">
                  <c:v>Claude-3.5-Sonnet</c:v>
                </c:pt>
              </c:strCache>
            </c:strRef>
          </c:tx>
          <c:spPr>
            <a:ln w="28575" cap="rnd">
              <a:solidFill>
                <a:srgbClr val="00FF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FF00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numRef>
              <c:f>tests!$N$2:$R$2</c:f>
              <c:numCache>
                <c:formatCode>General</c:formatCode>
                <c:ptCount val="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</c:numCache>
            </c:numRef>
          </c:cat>
          <c:val>
            <c:numRef>
              <c:f>tests!$N$4:$R$4</c:f>
              <c:numCache>
                <c:formatCode>General</c:formatCode>
                <c:ptCount val="5"/>
                <c:pt idx="0">
                  <c:v>75.7</c:v>
                </c:pt>
                <c:pt idx="1">
                  <c:v>79.899999999999991</c:v>
                </c:pt>
                <c:pt idx="2">
                  <c:v>89.372727272727275</c:v>
                </c:pt>
                <c:pt idx="3">
                  <c:v>91.620000000000019</c:v>
                </c:pt>
                <c:pt idx="4">
                  <c:v>97.100000000000009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226-477D-BFAF-BB924E0CD6BD}"/>
            </c:ext>
          </c:extLst>
        </c:ser>
        <c:ser>
          <c:idx val="2"/>
          <c:order val="2"/>
          <c:tx>
            <c:strRef>
              <c:f>tests!$M$5</c:f>
              <c:strCache>
                <c:ptCount val="1"/>
                <c:pt idx="0">
                  <c:v>Copilot</c:v>
                </c:pt>
              </c:strCache>
            </c:strRef>
          </c:tx>
          <c:spPr>
            <a:ln w="28575" cap="rnd">
              <a:solidFill>
                <a:srgbClr val="0000FF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00FF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numRef>
              <c:f>tests!$N$2:$R$2</c:f>
              <c:numCache>
                <c:formatCode>General</c:formatCode>
                <c:ptCount val="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</c:numCache>
            </c:numRef>
          </c:cat>
          <c:val>
            <c:numRef>
              <c:f>tests!$N$5:$R$5</c:f>
              <c:numCache>
                <c:formatCode>General</c:formatCode>
                <c:ptCount val="5"/>
                <c:pt idx="0">
                  <c:v>69.716666666666654</c:v>
                </c:pt>
                <c:pt idx="1">
                  <c:v>73.790909090909082</c:v>
                </c:pt>
                <c:pt idx="2">
                  <c:v>81.718181818181819</c:v>
                </c:pt>
                <c:pt idx="3">
                  <c:v>83.050000000000011</c:v>
                </c:pt>
                <c:pt idx="4">
                  <c:v>93.133333333333326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226-477D-BFAF-BB924E0CD6BD}"/>
            </c:ext>
          </c:extLst>
        </c:ser>
        <c:ser>
          <c:idx val="3"/>
          <c:order val="3"/>
          <c:tx>
            <c:strRef>
              <c:f>tests!$M$6</c:f>
              <c:strCache>
                <c:ptCount val="1"/>
                <c:pt idx="0">
                  <c:v>Gemini-1.5-Pro</c:v>
                </c:pt>
              </c:strCache>
            </c:strRef>
          </c:tx>
          <c:spPr>
            <a:ln w="28575" cap="rnd">
              <a:solidFill>
                <a:srgbClr val="00FFFF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FFFF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numRef>
              <c:f>tests!$N$2:$R$2</c:f>
              <c:numCache>
                <c:formatCode>General</c:formatCode>
                <c:ptCount val="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</c:numCache>
            </c:numRef>
          </c:cat>
          <c:val>
            <c:numRef>
              <c:f>tests!$N$6:$R$6</c:f>
              <c:numCache>
                <c:formatCode>General</c:formatCode>
                <c:ptCount val="5"/>
                <c:pt idx="0">
                  <c:v>73.416666666666671</c:v>
                </c:pt>
                <c:pt idx="1">
                  <c:v>91.190909090909088</c:v>
                </c:pt>
                <c:pt idx="2">
                  <c:v>91.781818181818167</c:v>
                </c:pt>
                <c:pt idx="3">
                  <c:v>98.52000000000001</c:v>
                </c:pt>
                <c:pt idx="4">
                  <c:v>99.600000000000009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A226-477D-BFAF-BB924E0CD6BD}"/>
            </c:ext>
          </c:extLst>
        </c:ser>
        <c:ser>
          <c:idx val="4"/>
          <c:order val="4"/>
          <c:tx>
            <c:strRef>
              <c:f>tests!$M$7</c:f>
              <c:strCache>
                <c:ptCount val="1"/>
                <c:pt idx="0">
                  <c:v>DeepSeek-Large</c:v>
                </c:pt>
              </c:strCache>
            </c:strRef>
          </c:tx>
          <c:spPr>
            <a:ln w="28575" cap="rnd">
              <a:solidFill>
                <a:srgbClr val="FFFF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FF00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numRef>
              <c:f>tests!$N$2:$R$2</c:f>
              <c:numCache>
                <c:formatCode>General</c:formatCode>
                <c:ptCount val="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</c:numCache>
            </c:numRef>
          </c:cat>
          <c:val>
            <c:numRef>
              <c:f>tests!$N$7:$R$7</c:f>
              <c:numCache>
                <c:formatCode>General</c:formatCode>
                <c:ptCount val="5"/>
                <c:pt idx="0">
                  <c:v>75.333333333333329</c:v>
                </c:pt>
                <c:pt idx="1">
                  <c:v>77.809090909090912</c:v>
                </c:pt>
                <c:pt idx="2">
                  <c:v>86.427272727272737</c:v>
                </c:pt>
                <c:pt idx="3">
                  <c:v>87.760000000000019</c:v>
                </c:pt>
                <c:pt idx="4">
                  <c:v>92.916666666666671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A226-477D-BFAF-BB924E0CD6B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78532575"/>
        <c:axId val="1678533535"/>
      </c:lineChart>
      <c:catAx>
        <c:axId val="167853257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hu-HU"/>
          </a:p>
        </c:txPr>
        <c:crossAx val="1678533535"/>
        <c:crosses val="autoZero"/>
        <c:auto val="1"/>
        <c:lblAlgn val="ctr"/>
        <c:lblOffset val="100"/>
        <c:noMultiLvlLbl val="0"/>
      </c:catAx>
      <c:valAx>
        <c:axId val="1678533535"/>
        <c:scaling>
          <c:orientation val="minMax"/>
          <c:max val="100"/>
          <c:min val="6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&quot; %&quot;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hu-HU"/>
          </a:p>
        </c:txPr>
        <c:crossAx val="167853257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hu-HU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hu-HU"/>
    </a:p>
  </c:txPr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hu-H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hu-HU"/>
              <a:t>Average</a:t>
            </a:r>
            <a:r>
              <a:rPr lang="hu-HU" baseline="0"/>
              <a:t> new bugs</a:t>
            </a:r>
            <a:endParaRPr lang="hu-HU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hu-HU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tests!$K$3:$K$7</c:f>
              <c:strCache>
                <c:ptCount val="5"/>
                <c:pt idx="0">
                  <c:v>ChatGPT</c:v>
                </c:pt>
                <c:pt idx="1">
                  <c:v>Claude-3.5-Sonnet</c:v>
                </c:pt>
                <c:pt idx="2">
                  <c:v>Copilot</c:v>
                </c:pt>
                <c:pt idx="3">
                  <c:v>Gemini-1.5-Pro</c:v>
                </c:pt>
                <c:pt idx="4">
                  <c:v>DeepSeek-Large</c:v>
                </c:pt>
              </c:strCache>
            </c:strRef>
          </c:cat>
          <c:val>
            <c:numRef>
              <c:f>tests!$L$3:$L$7</c:f>
              <c:numCache>
                <c:formatCode>General</c:formatCode>
                <c:ptCount val="5"/>
                <c:pt idx="0">
                  <c:v>0.36</c:v>
                </c:pt>
                <c:pt idx="1">
                  <c:v>0.33</c:v>
                </c:pt>
                <c:pt idx="2">
                  <c:v>0.3</c:v>
                </c:pt>
                <c:pt idx="3">
                  <c:v>0.32</c:v>
                </c:pt>
                <c:pt idx="4">
                  <c:v>0.35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A63-4B76-A5A6-DF1F4790FD0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51437439"/>
        <c:axId val="1851422559"/>
      </c:barChart>
      <c:catAx>
        <c:axId val="18514374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hu-HU"/>
          </a:p>
        </c:txPr>
        <c:crossAx val="1851422559"/>
        <c:crosses val="autoZero"/>
        <c:auto val="1"/>
        <c:lblAlgn val="ctr"/>
        <c:lblOffset val="100"/>
        <c:noMultiLvlLbl val="0"/>
      </c:catAx>
      <c:valAx>
        <c:axId val="18514225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hu-HU"/>
          </a:p>
        </c:txPr>
        <c:crossAx val="185143743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hu-HU"/>
    </a:p>
  </c:tx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chart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2.bin"/></Relationships>
</file>

<file path=xl/chart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3.bin"/></Relationships>
</file>

<file path=xl/chart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4.bin"/></Relationships>
</file>

<file path=xl/chart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5.bin"/></Relationships>
</file>

<file path=xl/chart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6.bin"/></Relationships>
</file>

<file path=xl/chart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7.bin"/></Relationships>
</file>

<file path=xl/chart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8.bin"/></Relationships>
</file>

<file path=xl/chartsheets/sheet1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C2892888-9FCF-40AA-A2D7-9625B4BA4373}">
  <sheetPr codeName="Diagram2"/>
  <sheetViews>
    <sheetView zoomScale="115" workbookViewId="0"/>
  </sheetViews>
  <pageMargins left="0.7" right="0.7" top="0.75" bottom="0.75" header="0.3" footer="0.3"/>
  <pageSetup paperSize="9" orientation="landscape" r:id="rId1"/>
  <drawing r:id="rId2"/>
</chartsheet>
</file>

<file path=xl/chartsheets/sheet2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874838C1-820F-48F6-BB87-BC96530EB113}">
  <sheetPr codeName="Diagram6"/>
  <sheetViews>
    <sheetView zoomScale="115" workbookViewId="0"/>
  </sheetViews>
  <pageMargins left="0.7" right="0.7" top="0.75" bottom="0.75" header="0.3" footer="0.3"/>
  <pageSetup paperSize="9" orientation="landscape" r:id="rId1"/>
  <drawing r:id="rId2"/>
</chartsheet>
</file>

<file path=xl/chartsheets/sheet3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4E200F26-4F43-4636-BF38-9E7AE026A836}">
  <sheetPr codeName="Diagram4"/>
  <sheetViews>
    <sheetView zoomScale="118" workbookViewId="0" zoomToFit="1"/>
  </sheetViews>
  <pageMargins left="0.7" right="0.7" top="0.75" bottom="0.75" header="0.3" footer="0.3"/>
  <pageSetup paperSize="9" orientation="landscape" r:id="rId1"/>
  <drawing r:id="rId2"/>
</chartsheet>
</file>

<file path=xl/chartsheets/sheet4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D141C628-3B07-4577-8BB3-BA83C8D5823B}">
  <sheetPr codeName="Diagram5"/>
  <sheetViews>
    <sheetView zoomScale="118" workbookViewId="0" zoomToFit="1"/>
  </sheetViews>
  <pageMargins left="0.7" right="0.7" top="0.75" bottom="0.75" header="0.3" footer="0.3"/>
  <pageSetup paperSize="9" orientation="landscape" r:id="rId1"/>
  <drawing r:id="rId2"/>
</chartsheet>
</file>

<file path=xl/chartsheets/sheet5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55BEEB8D-57A2-4645-A062-7E407D5A9DED}">
  <sheetPr codeName="Diagram3"/>
  <sheetViews>
    <sheetView zoomScale="118" workbookViewId="0" zoomToFit="1"/>
  </sheetViews>
  <pageMargins left="0.7" right="0.7" top="0.75" bottom="0.75" header="0.3" footer="0.3"/>
  <pageSetup paperSize="9" orientation="landscape" r:id="rId1"/>
  <drawing r:id="rId2"/>
</chartsheet>
</file>

<file path=xl/chartsheets/sheet6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683F765E-A5C9-49A8-B97E-F784ED3F0DD1}">
  <sheetPr codeName="Diagram7"/>
  <sheetViews>
    <sheetView zoomScale="115" workbookViewId="0"/>
  </sheetViews>
  <pageMargins left="0.7" right="0.7" top="0.75" bottom="0.75" header="0.3" footer="0.3"/>
  <pageSetup paperSize="9" orientation="landscape" r:id="rId1"/>
  <drawing r:id="rId2"/>
</chartsheet>
</file>

<file path=xl/chartsheets/sheet7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278F8BBF-FA61-4BCD-8738-691766AF8E14}">
  <sheetPr codeName="Diagram8"/>
  <sheetViews>
    <sheetView zoomScale="118" workbookViewId="0" zoomToFit="1"/>
  </sheetViews>
  <pageMargins left="0.7" right="0.7" top="0.75" bottom="0.75" header="0.3" footer="0.3"/>
  <pageSetup paperSize="9" orientation="landscape" r:id="rId1"/>
  <drawing r:id="rId2"/>
</chartsheet>
</file>

<file path=xl/chartsheets/sheet8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B4BDF504-EF11-437F-B574-A92F15BC3CED}">
  <sheetPr/>
  <sheetViews>
    <sheetView tabSelected="1" zoomScale="85" workbookViewId="0" zoomToFit="1"/>
  </sheetViews>
  <pageMargins left="0.7" right="0.7" top="0.75" bottom="0.75" header="0.3" footer="0.3"/>
  <pageSetup paperSize="9" orientation="landscape" r:id="rId1"/>
  <drawing r:id="rId2"/>
</chartsheet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drawing1.xml><?xml version="1.0" encoding="utf-8"?>
<xdr:wsDr xmlns:xdr="http://schemas.openxmlformats.org/drawingml/2006/spreadsheetDrawing" xmlns:a="http://schemas.openxmlformats.org/drawingml/2006/main">
  <xdr:absoluteAnchor>
    <xdr:pos x="0" y="0"/>
    <xdr:ext cx="9297865" cy="6066692"/>
    <xdr:graphicFrame macro="">
      <xdr:nvGraphicFramePr>
        <xdr:cNvPr id="2" name="Diagram 1">
          <a:extLst>
            <a:ext uri="{FF2B5EF4-FFF2-40B4-BE49-F238E27FC236}">
              <a16:creationId xmlns:a16="http://schemas.microsoft.com/office/drawing/2014/main" id="{5745F332-7D40-A0FB-6F12-1F0595CD8FBB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0.16391</cdr:x>
      <cdr:y>0.92018</cdr:y>
    </cdr:from>
    <cdr:to>
      <cdr:x>0.83603</cdr:x>
      <cdr:y>0.96101</cdr:y>
    </cdr:to>
    <cdr:pic>
      <cdr:nvPicPr>
        <cdr:cNvPr id="2" name="chart">
          <a:extLst xmlns:a="http://schemas.openxmlformats.org/drawingml/2006/main">
            <a:ext uri="{FF2B5EF4-FFF2-40B4-BE49-F238E27FC236}">
              <a16:creationId xmlns:a16="http://schemas.microsoft.com/office/drawing/2014/main" id="{132F2983-1BB1-DACB-3B80-14EBF5560C9A}"/>
            </a:ext>
          </a:extLst>
        </cdr:cNvPr>
        <cdr:cNvPicPr>
          <a:picLocks xmlns:a="http://schemas.openxmlformats.org/drawingml/2006/main" noChangeAspect="1"/>
        </cdr:cNvPicPr>
      </cdr:nvPicPr>
      <cdr: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cdr:blipFill>
      <cdr:spPr>
        <a:xfrm xmlns:a="http://schemas.openxmlformats.org/drawingml/2006/main">
          <a:off x="1524000" y="5582478"/>
          <a:ext cx="6249272" cy="247685"/>
        </a:xfrm>
        <a:prstGeom xmlns:a="http://schemas.openxmlformats.org/drawingml/2006/main" prst="rect">
          <a:avLst/>
        </a:prstGeom>
      </cdr:spPr>
    </cdr:pic>
  </cdr:relSizeAnchor>
</c:userShapes>
</file>

<file path=xl/drawings/drawing3.xml><?xml version="1.0" encoding="utf-8"?>
<xdr:wsDr xmlns:xdr="http://schemas.openxmlformats.org/drawingml/2006/spreadsheetDrawing" xmlns:a="http://schemas.openxmlformats.org/drawingml/2006/main">
  <xdr:absoluteAnchor>
    <xdr:pos x="0" y="0"/>
    <xdr:ext cx="9301370" cy="6071152"/>
    <xdr:graphicFrame macro="">
      <xdr:nvGraphicFramePr>
        <xdr:cNvPr id="2" name="Diagram 1">
          <a:extLst>
            <a:ext uri="{FF2B5EF4-FFF2-40B4-BE49-F238E27FC236}">
              <a16:creationId xmlns:a16="http://schemas.microsoft.com/office/drawing/2014/main" id="{799C8170-2501-F293-539C-056368517CF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4.xml><?xml version="1.0" encoding="utf-8"?>
<c:userShapes xmlns:c="http://schemas.openxmlformats.org/drawingml/2006/chart">
  <cdr:relSizeAnchor xmlns:cdr="http://schemas.openxmlformats.org/drawingml/2006/chartDrawing">
    <cdr:from>
      <cdr:x>0.16296</cdr:x>
      <cdr:y>0.92633</cdr:y>
    </cdr:from>
    <cdr:to>
      <cdr:x>0.83482</cdr:x>
      <cdr:y>0.96713</cdr:y>
    </cdr:to>
    <cdr:pic>
      <cdr:nvPicPr>
        <cdr:cNvPr id="3" name="chart">
          <a:extLst xmlns:a="http://schemas.openxmlformats.org/drawingml/2006/main">
            <a:ext uri="{FF2B5EF4-FFF2-40B4-BE49-F238E27FC236}">
              <a16:creationId xmlns:a16="http://schemas.microsoft.com/office/drawing/2014/main" id="{129E913E-1DE5-7D5D-6AE5-44D2D6FE2BFF}"/>
            </a:ext>
          </a:extLst>
        </cdr:cNvPr>
        <cdr:cNvPicPr>
          <a:picLocks xmlns:a="http://schemas.openxmlformats.org/drawingml/2006/main" noChangeAspect="1"/>
        </cdr:cNvPicPr>
      </cdr:nvPicPr>
      <cdr: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cdr:blipFill>
      <cdr:spPr>
        <a:xfrm xmlns:a="http://schemas.openxmlformats.org/drawingml/2006/main">
          <a:off x="1515718" y="5623891"/>
          <a:ext cx="6249272" cy="247685"/>
        </a:xfrm>
        <a:prstGeom xmlns:a="http://schemas.openxmlformats.org/drawingml/2006/main" prst="rect">
          <a:avLst/>
        </a:prstGeom>
      </cdr:spPr>
    </cdr:pic>
  </cdr:relSizeAnchor>
</c:userShapes>
</file>

<file path=xl/drawings/drawing5.xml><?xml version="1.0" encoding="utf-8"?>
<xdr:wsDr xmlns:xdr="http://schemas.openxmlformats.org/drawingml/2006/spreadsheetDrawing" xmlns:a="http://schemas.openxmlformats.org/drawingml/2006/main">
  <xdr:absoluteAnchor>
    <xdr:pos x="0" y="0"/>
    <xdr:ext cx="9298983" cy="6078242"/>
    <xdr:graphicFrame macro="">
      <xdr:nvGraphicFramePr>
        <xdr:cNvPr id="2" name="Diagram 1">
          <a:extLst>
            <a:ext uri="{FF2B5EF4-FFF2-40B4-BE49-F238E27FC236}">
              <a16:creationId xmlns:a16="http://schemas.microsoft.com/office/drawing/2014/main" id="{C3883AA4-A5B9-25C5-0DD5-BCD517633678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6.xml><?xml version="1.0" encoding="utf-8"?>
<c:userShapes xmlns:c="http://schemas.openxmlformats.org/drawingml/2006/chart">
  <cdr:relSizeAnchor xmlns:cdr="http://schemas.openxmlformats.org/drawingml/2006/chartDrawing">
    <cdr:from>
      <cdr:x>0.1658</cdr:x>
      <cdr:y>0.90173</cdr:y>
    </cdr:from>
    <cdr:to>
      <cdr:x>0.83784</cdr:x>
      <cdr:y>0.94248</cdr:y>
    </cdr:to>
    <cdr:pic>
      <cdr:nvPicPr>
        <cdr:cNvPr id="2" name="chart">
          <a:extLst xmlns:a="http://schemas.openxmlformats.org/drawingml/2006/main">
            <a:ext uri="{FF2B5EF4-FFF2-40B4-BE49-F238E27FC236}">
              <a16:creationId xmlns:a16="http://schemas.microsoft.com/office/drawing/2014/main" id="{D2AFCBBA-A0A2-94C6-3AA5-826EA0F6C4A8}"/>
            </a:ext>
          </a:extLst>
        </cdr:cNvPr>
        <cdr:cNvPicPr>
          <a:picLocks xmlns:a="http://schemas.openxmlformats.org/drawingml/2006/main" noChangeAspect="1"/>
        </cdr:cNvPicPr>
      </cdr:nvPicPr>
      <cdr: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cdr:blipFill>
      <cdr:spPr>
        <a:xfrm xmlns:a="http://schemas.openxmlformats.org/drawingml/2006/main">
          <a:off x="1541759" y="5480911"/>
          <a:ext cx="6249272" cy="247685"/>
        </a:xfrm>
        <a:prstGeom xmlns:a="http://schemas.openxmlformats.org/drawingml/2006/main" prst="rect">
          <a:avLst/>
        </a:prstGeom>
      </cdr:spPr>
    </cdr:pic>
  </cdr:relSizeAnchor>
</c:userShapes>
</file>

<file path=xl/drawings/drawing7.xml><?xml version="1.0" encoding="utf-8"?>
<xdr:wsDr xmlns:xdr="http://schemas.openxmlformats.org/drawingml/2006/spreadsheetDrawing" xmlns:a="http://schemas.openxmlformats.org/drawingml/2006/main">
  <xdr:absoluteAnchor>
    <xdr:pos x="0" y="0"/>
    <xdr:ext cx="9298983" cy="6078242"/>
    <xdr:graphicFrame macro="">
      <xdr:nvGraphicFramePr>
        <xdr:cNvPr id="2" name="Diagram 1">
          <a:extLst>
            <a:ext uri="{FF2B5EF4-FFF2-40B4-BE49-F238E27FC236}">
              <a16:creationId xmlns:a16="http://schemas.microsoft.com/office/drawing/2014/main" id="{893D0303-5769-CC82-6C42-8EFDE803C836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8.xml><?xml version="1.0" encoding="utf-8"?>
<c:userShapes xmlns:c="http://schemas.openxmlformats.org/drawingml/2006/chart">
  <cdr:relSizeAnchor xmlns:cdr="http://schemas.openxmlformats.org/drawingml/2006/chartDrawing">
    <cdr:from>
      <cdr:x>0.16233</cdr:x>
      <cdr:y>0.9243</cdr:y>
    </cdr:from>
    <cdr:to>
      <cdr:x>0.83436</cdr:x>
      <cdr:y>0.96505</cdr:y>
    </cdr:to>
    <cdr:pic>
      <cdr:nvPicPr>
        <cdr:cNvPr id="2" name="chart">
          <a:extLst xmlns:a="http://schemas.openxmlformats.org/drawingml/2006/main">
            <a:ext uri="{FF2B5EF4-FFF2-40B4-BE49-F238E27FC236}">
              <a16:creationId xmlns:a16="http://schemas.microsoft.com/office/drawing/2014/main" id="{5346B6DB-D7CB-FD0A-3E5F-80B775C74CF3}"/>
            </a:ext>
          </a:extLst>
        </cdr:cNvPr>
        <cdr:cNvPicPr>
          <a:picLocks xmlns:a="http://schemas.openxmlformats.org/drawingml/2006/main" noChangeAspect="1"/>
        </cdr:cNvPicPr>
      </cdr:nvPicPr>
      <cdr: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cdr:blipFill>
      <cdr:spPr>
        <a:xfrm xmlns:a="http://schemas.openxmlformats.org/drawingml/2006/main">
          <a:off x="1509470" y="5618136"/>
          <a:ext cx="6249272" cy="247685"/>
        </a:xfrm>
        <a:prstGeom xmlns:a="http://schemas.openxmlformats.org/drawingml/2006/main" prst="rect">
          <a:avLst/>
        </a:prstGeom>
      </cdr:spPr>
    </cdr:pic>
  </cdr:relSizeAnchor>
</c:userShapes>
</file>

<file path=xl/drawings/drawing9.xml><?xml version="1.0" encoding="utf-8"?>
<xdr:wsDr xmlns:xdr="http://schemas.openxmlformats.org/drawingml/2006/spreadsheetDrawing" xmlns:a="http://schemas.openxmlformats.org/drawingml/2006/main">
  <xdr:absoluteAnchor>
    <xdr:pos x="0" y="0"/>
    <xdr:ext cx="9298983" cy="6078242"/>
    <xdr:graphicFrame macro="">
      <xdr:nvGraphicFramePr>
        <xdr:cNvPr id="2" name="Diagram 1">
          <a:extLst>
            <a:ext uri="{FF2B5EF4-FFF2-40B4-BE49-F238E27FC236}">
              <a16:creationId xmlns:a16="http://schemas.microsoft.com/office/drawing/2014/main" id="{7F3E78A8-431E-AAA4-EC5D-0EC4BA688C68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10.xml><?xml version="1.0" encoding="utf-8"?>
<c:userShapes xmlns:c="http://schemas.openxmlformats.org/drawingml/2006/chart">
  <cdr:relSizeAnchor xmlns:cdr="http://schemas.openxmlformats.org/drawingml/2006/chartDrawing">
    <cdr:from>
      <cdr:x>0.16233</cdr:x>
      <cdr:y>0.94157</cdr:y>
    </cdr:from>
    <cdr:to>
      <cdr:x>0.83436</cdr:x>
      <cdr:y>0.98232</cdr:y>
    </cdr:to>
    <cdr:pic>
      <cdr:nvPicPr>
        <cdr:cNvPr id="2" name="chart">
          <a:extLst xmlns:a="http://schemas.openxmlformats.org/drawingml/2006/main">
            <a:ext uri="{FF2B5EF4-FFF2-40B4-BE49-F238E27FC236}">
              <a16:creationId xmlns:a16="http://schemas.microsoft.com/office/drawing/2014/main" id="{83BFDF62-719E-C6BB-6D49-1800CA77421C}"/>
            </a:ext>
          </a:extLst>
        </cdr:cNvPr>
        <cdr:cNvPicPr>
          <a:picLocks xmlns:a="http://schemas.openxmlformats.org/drawingml/2006/main" noChangeAspect="1"/>
        </cdr:cNvPicPr>
      </cdr:nvPicPr>
      <cdr: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cdr:blipFill>
      <cdr:spPr>
        <a:xfrm xmlns:a="http://schemas.openxmlformats.org/drawingml/2006/main">
          <a:off x="1509471" y="5723072"/>
          <a:ext cx="6249272" cy="247685"/>
        </a:xfrm>
        <a:prstGeom xmlns:a="http://schemas.openxmlformats.org/drawingml/2006/main" prst="rect">
          <a:avLst/>
        </a:prstGeom>
      </cdr:spPr>
    </cdr:pic>
  </cdr:relSizeAnchor>
</c:userShapes>
</file>

<file path=xl/drawings/drawing11.xml><?xml version="1.0" encoding="utf-8"?>
<xdr:wsDr xmlns:xdr="http://schemas.openxmlformats.org/drawingml/2006/spreadsheetDrawing" xmlns:a="http://schemas.openxmlformats.org/drawingml/2006/main">
  <xdr:absoluteAnchor>
    <xdr:pos x="0" y="0"/>
    <xdr:ext cx="9301370" cy="6071152"/>
    <xdr:graphicFrame macro="">
      <xdr:nvGraphicFramePr>
        <xdr:cNvPr id="2" name="Diagram 1">
          <a:extLst>
            <a:ext uri="{FF2B5EF4-FFF2-40B4-BE49-F238E27FC236}">
              <a16:creationId xmlns:a16="http://schemas.microsoft.com/office/drawing/2014/main" id="{17595DEB-4920-C0A9-D0A0-A6456CD97C2B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12.xml><?xml version="1.0" encoding="utf-8"?>
<c:userShapes xmlns:c="http://schemas.openxmlformats.org/drawingml/2006/chart">
  <cdr:relSizeAnchor xmlns:cdr="http://schemas.openxmlformats.org/drawingml/2006/chartDrawing">
    <cdr:from>
      <cdr:x>0.16296</cdr:x>
      <cdr:y>0.94147</cdr:y>
    </cdr:from>
    <cdr:to>
      <cdr:x>0.83482</cdr:x>
      <cdr:y>0.98226</cdr:y>
    </cdr:to>
    <cdr:pic>
      <cdr:nvPicPr>
        <cdr:cNvPr id="2" name="chart">
          <a:extLst xmlns:a="http://schemas.openxmlformats.org/drawingml/2006/main">
            <a:ext uri="{FF2B5EF4-FFF2-40B4-BE49-F238E27FC236}">
              <a16:creationId xmlns:a16="http://schemas.microsoft.com/office/drawing/2014/main" id="{53BBCD48-3757-EAC2-79FD-2B5A59E2C8C8}"/>
            </a:ext>
          </a:extLst>
        </cdr:cNvPr>
        <cdr:cNvPicPr>
          <a:picLocks xmlns:a="http://schemas.openxmlformats.org/drawingml/2006/main" noChangeAspect="1"/>
        </cdr:cNvPicPr>
      </cdr:nvPicPr>
      <cdr: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cdr:blipFill>
      <cdr:spPr>
        <a:xfrm xmlns:a="http://schemas.openxmlformats.org/drawingml/2006/main">
          <a:off x="1515718" y="5715792"/>
          <a:ext cx="6249272" cy="247685"/>
        </a:xfrm>
        <a:prstGeom xmlns:a="http://schemas.openxmlformats.org/drawingml/2006/main" prst="rect">
          <a:avLst/>
        </a:prstGeom>
      </cdr:spPr>
    </cdr:pic>
  </cdr:relSizeAnchor>
</c:userShapes>
</file>

<file path=xl/drawings/drawing13.xml><?xml version="1.0" encoding="utf-8"?>
<xdr:wsDr xmlns:xdr="http://schemas.openxmlformats.org/drawingml/2006/spreadsheetDrawing" xmlns:a="http://schemas.openxmlformats.org/drawingml/2006/main">
  <xdr:absoluteAnchor>
    <xdr:pos x="0" y="0"/>
    <xdr:ext cx="9298983" cy="6078242"/>
    <xdr:graphicFrame macro="">
      <xdr:nvGraphicFramePr>
        <xdr:cNvPr id="2" name="Diagram 1">
          <a:extLst>
            <a:ext uri="{FF2B5EF4-FFF2-40B4-BE49-F238E27FC236}">
              <a16:creationId xmlns:a16="http://schemas.microsoft.com/office/drawing/2014/main" id="{D4CDD6C1-6AC8-938C-E6D9-7E3159D505A3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14.xml><?xml version="1.0" encoding="utf-8"?>
<xdr:wsDr xmlns:xdr="http://schemas.openxmlformats.org/drawingml/2006/spreadsheetDrawing" xmlns:a="http://schemas.openxmlformats.org/drawingml/2006/main">
  <xdr:absoluteAnchor>
    <xdr:pos x="0" y="0"/>
    <xdr:ext cx="9287435" cy="6069106"/>
    <xdr:graphicFrame macro="">
      <xdr:nvGraphicFramePr>
        <xdr:cNvPr id="2" name="Diagram 1">
          <a:extLst>
            <a:ext uri="{FF2B5EF4-FFF2-40B4-BE49-F238E27FC236}">
              <a16:creationId xmlns:a16="http://schemas.microsoft.com/office/drawing/2014/main" id="{06EA4755-1A3A-BB96-8D22-69D9686B6ACD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theme/theme1.xml><?xml version="1.0" encoding="utf-8"?>
<a:theme xmlns:a="http://schemas.openxmlformats.org/drawingml/2006/main" name="Office-té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81E127-B4C7-4E17-B665-504999F13628}">
  <sheetPr codeName="Munka1"/>
  <dimension ref="A1:R221"/>
  <sheetViews>
    <sheetView topLeftCell="G1" zoomScale="132" workbookViewId="0">
      <selection activeCell="M11" sqref="M11"/>
    </sheetView>
  </sheetViews>
  <sheetFormatPr defaultRowHeight="14.4" x14ac:dyDescent="0.3"/>
  <cols>
    <col min="1" max="1" width="10.44140625" bestFit="1" customWidth="1"/>
    <col min="4" max="4" width="11.109375" bestFit="1" customWidth="1"/>
    <col min="5" max="5" width="13.44140625" bestFit="1" customWidth="1"/>
    <col min="6" max="6" width="11.109375" bestFit="1" customWidth="1"/>
    <col min="7" max="7" width="18" bestFit="1" customWidth="1"/>
    <col min="8" max="8" width="11.109375" bestFit="1" customWidth="1"/>
    <col min="13" max="13" width="54" bestFit="1" customWidth="1"/>
  </cols>
  <sheetData>
    <row r="1" spans="1:18" x14ac:dyDescent="0.3">
      <c r="A1" t="s">
        <v>7</v>
      </c>
      <c r="B1" t="s">
        <v>8</v>
      </c>
      <c r="C1" t="s">
        <v>9</v>
      </c>
      <c r="D1" t="s">
        <v>1</v>
      </c>
      <c r="E1" t="s">
        <v>10</v>
      </c>
      <c r="F1" t="s">
        <v>1</v>
      </c>
      <c r="G1" t="s">
        <v>0</v>
      </c>
    </row>
    <row r="2" spans="1:18" x14ac:dyDescent="0.3">
      <c r="A2">
        <v>6</v>
      </c>
      <c r="B2">
        <v>1</v>
      </c>
      <c r="C2" t="s">
        <v>2</v>
      </c>
      <c r="D2">
        <v>3.96</v>
      </c>
      <c r="E2">
        <v>56.6</v>
      </c>
      <c r="F2">
        <v>3.96</v>
      </c>
      <c r="G2">
        <v>0</v>
      </c>
      <c r="H2">
        <f>COUNTIFS($D$2:$D$221,D2,$E$2:$E$221,E2)</f>
        <v>1</v>
      </c>
      <c r="N2">
        <v>1</v>
      </c>
      <c r="O2">
        <v>2</v>
      </c>
      <c r="P2">
        <v>3</v>
      </c>
      <c r="Q2">
        <v>4</v>
      </c>
      <c r="R2">
        <v>5</v>
      </c>
    </row>
    <row r="3" spans="1:18" x14ac:dyDescent="0.3">
      <c r="A3">
        <v>15</v>
      </c>
      <c r="B3">
        <v>1</v>
      </c>
      <c r="C3" t="s">
        <v>2</v>
      </c>
      <c r="D3">
        <v>4.22</v>
      </c>
      <c r="E3">
        <v>61.9</v>
      </c>
      <c r="F3">
        <v>4.22</v>
      </c>
      <c r="G3">
        <v>0</v>
      </c>
      <c r="H3">
        <f t="shared" ref="H3:H66" si="0">COUNTIFS($D$2:$D$221,D3,$E$2:$E$221,E3)</f>
        <v>1</v>
      </c>
      <c r="K3" t="s">
        <v>2</v>
      </c>
      <c r="L3">
        <v>0.36</v>
      </c>
      <c r="M3" t="s">
        <v>2</v>
      </c>
      <c r="N3">
        <f>SUMIFS($E$2:$E$221,$C$2:$C$221,$M3,$B$2:$B$221,N$2)/COUNTIFS($C$2:$C$221,$M3,$B$2:$B$221,N$2)</f>
        <v>67.233333333333334</v>
      </c>
      <c r="O3">
        <f t="shared" ref="O3:R3" si="1">SUMIFS($E$2:$E$221,$C$2:$C$221,$M3,$B$2:$B$221,O$2)/COUNTIFS($C$2:$C$221,$M3,$B$2:$B$221,O$2)</f>
        <v>73.263636363636365</v>
      </c>
      <c r="P3">
        <f t="shared" si="1"/>
        <v>81.063636363636363</v>
      </c>
      <c r="Q3">
        <f t="shared" si="1"/>
        <v>86.8</v>
      </c>
      <c r="R3">
        <f t="shared" si="1"/>
        <v>92.25</v>
      </c>
    </row>
    <row r="4" spans="1:18" x14ac:dyDescent="0.3">
      <c r="A4">
        <v>19</v>
      </c>
      <c r="B4">
        <v>1</v>
      </c>
      <c r="C4" t="s">
        <v>2</v>
      </c>
      <c r="D4">
        <v>3.8</v>
      </c>
      <c r="E4">
        <v>81.8</v>
      </c>
      <c r="F4">
        <v>3.8</v>
      </c>
      <c r="G4">
        <v>0</v>
      </c>
      <c r="H4">
        <f t="shared" si="0"/>
        <v>1</v>
      </c>
      <c r="K4" t="s">
        <v>3</v>
      </c>
      <c r="L4">
        <v>0.33</v>
      </c>
      <c r="M4" t="s">
        <v>3</v>
      </c>
      <c r="N4">
        <f t="shared" ref="N4:R7" si="2">SUMIFS($E$2:$E$221,$C$2:$C$221,$M4,$B$2:$B$221,N$2)/COUNTIFS($C$2:$C$221,$M4,$B$2:$B$221,N$2)</f>
        <v>75.7</v>
      </c>
      <c r="O4">
        <f t="shared" si="2"/>
        <v>79.899999999999991</v>
      </c>
      <c r="P4">
        <f t="shared" si="2"/>
        <v>89.372727272727275</v>
      </c>
      <c r="Q4">
        <f t="shared" si="2"/>
        <v>91.620000000000019</v>
      </c>
      <c r="R4">
        <f t="shared" si="2"/>
        <v>97.100000000000009</v>
      </c>
    </row>
    <row r="5" spans="1:18" x14ac:dyDescent="0.3">
      <c r="A5">
        <v>24</v>
      </c>
      <c r="B5">
        <v>1</v>
      </c>
      <c r="C5" t="s">
        <v>2</v>
      </c>
      <c r="D5">
        <v>4.8099999999999996</v>
      </c>
      <c r="E5">
        <v>65.2</v>
      </c>
      <c r="F5">
        <v>4.8099999999999996</v>
      </c>
      <c r="G5">
        <v>0</v>
      </c>
      <c r="H5">
        <f t="shared" si="0"/>
        <v>1</v>
      </c>
      <c r="K5" t="s">
        <v>4</v>
      </c>
      <c r="L5">
        <v>0.3</v>
      </c>
      <c r="M5" t="s">
        <v>4</v>
      </c>
      <c r="N5">
        <f t="shared" si="2"/>
        <v>69.716666666666654</v>
      </c>
      <c r="O5">
        <f t="shared" si="2"/>
        <v>73.790909090909082</v>
      </c>
      <c r="P5">
        <f t="shared" si="2"/>
        <v>81.718181818181819</v>
      </c>
      <c r="Q5">
        <f t="shared" si="2"/>
        <v>83.050000000000011</v>
      </c>
      <c r="R5">
        <f t="shared" si="2"/>
        <v>93.133333333333326</v>
      </c>
    </row>
    <row r="6" spans="1:18" x14ac:dyDescent="0.3">
      <c r="A6">
        <v>32</v>
      </c>
      <c r="B6">
        <v>1</v>
      </c>
      <c r="C6" t="s">
        <v>2</v>
      </c>
      <c r="D6">
        <v>4.24</v>
      </c>
      <c r="E6">
        <v>80.3</v>
      </c>
      <c r="F6">
        <v>4.24</v>
      </c>
      <c r="G6">
        <v>0</v>
      </c>
      <c r="H6">
        <f t="shared" si="0"/>
        <v>1</v>
      </c>
      <c r="K6" t="s">
        <v>5</v>
      </c>
      <c r="L6">
        <v>0.32</v>
      </c>
      <c r="M6" t="s">
        <v>5</v>
      </c>
      <c r="N6">
        <f t="shared" si="2"/>
        <v>73.416666666666671</v>
      </c>
      <c r="O6">
        <f t="shared" si="2"/>
        <v>91.190909090909088</v>
      </c>
      <c r="P6">
        <f t="shared" si="2"/>
        <v>91.781818181818167</v>
      </c>
      <c r="Q6">
        <f t="shared" si="2"/>
        <v>98.52000000000001</v>
      </c>
      <c r="R6">
        <f t="shared" si="2"/>
        <v>99.600000000000009</v>
      </c>
    </row>
    <row r="7" spans="1:18" x14ac:dyDescent="0.3">
      <c r="A7">
        <v>47</v>
      </c>
      <c r="B7">
        <v>1</v>
      </c>
      <c r="C7" t="s">
        <v>2</v>
      </c>
      <c r="D7">
        <v>4.1900000000000004</v>
      </c>
      <c r="E7">
        <v>57.6</v>
      </c>
      <c r="F7">
        <v>4.1900000000000004</v>
      </c>
      <c r="G7">
        <v>0</v>
      </c>
      <c r="H7">
        <f t="shared" si="0"/>
        <v>1</v>
      </c>
      <c r="K7" t="s">
        <v>6</v>
      </c>
      <c r="L7">
        <v>0.35</v>
      </c>
      <c r="M7" t="s">
        <v>6</v>
      </c>
      <c r="N7">
        <f t="shared" si="2"/>
        <v>75.333333333333329</v>
      </c>
      <c r="O7">
        <f t="shared" si="2"/>
        <v>77.809090909090912</v>
      </c>
      <c r="P7">
        <f t="shared" si="2"/>
        <v>86.427272727272737</v>
      </c>
      <c r="Q7">
        <f t="shared" si="2"/>
        <v>87.760000000000019</v>
      </c>
      <c r="R7">
        <f t="shared" si="2"/>
        <v>92.916666666666671</v>
      </c>
    </row>
    <row r="8" spans="1:18" x14ac:dyDescent="0.3">
      <c r="A8">
        <v>6</v>
      </c>
      <c r="B8">
        <v>1</v>
      </c>
      <c r="C8" t="s">
        <v>3</v>
      </c>
      <c r="D8">
        <v>5.05</v>
      </c>
      <c r="E8">
        <v>73.900000000000006</v>
      </c>
      <c r="F8">
        <v>5.05</v>
      </c>
      <c r="G8">
        <v>0</v>
      </c>
      <c r="H8">
        <f t="shared" si="0"/>
        <v>1</v>
      </c>
    </row>
    <row r="9" spans="1:18" x14ac:dyDescent="0.3">
      <c r="A9">
        <v>15</v>
      </c>
      <c r="B9">
        <v>1</v>
      </c>
      <c r="C9" t="s">
        <v>3</v>
      </c>
      <c r="D9">
        <v>4.9000000000000004</v>
      </c>
      <c r="E9">
        <v>68.900000000000006</v>
      </c>
      <c r="F9">
        <v>4.9000000000000004</v>
      </c>
      <c r="G9">
        <v>0</v>
      </c>
      <c r="H9">
        <f t="shared" si="0"/>
        <v>1</v>
      </c>
      <c r="N9" t="s">
        <v>11</v>
      </c>
    </row>
    <row r="10" spans="1:18" x14ac:dyDescent="0.3">
      <c r="A10">
        <v>19</v>
      </c>
      <c r="B10">
        <v>1</v>
      </c>
      <c r="C10" t="s">
        <v>3</v>
      </c>
      <c r="D10">
        <v>5.05</v>
      </c>
      <c r="E10">
        <v>76</v>
      </c>
      <c r="F10">
        <v>5.05</v>
      </c>
      <c r="G10">
        <v>0</v>
      </c>
      <c r="H10">
        <f t="shared" si="0"/>
        <v>1</v>
      </c>
    </row>
    <row r="11" spans="1:18" x14ac:dyDescent="0.3">
      <c r="A11">
        <v>24</v>
      </c>
      <c r="B11">
        <v>1</v>
      </c>
      <c r="C11" t="s">
        <v>3</v>
      </c>
      <c r="D11">
        <v>4.46</v>
      </c>
      <c r="E11">
        <v>81.3</v>
      </c>
      <c r="F11">
        <v>4.46</v>
      </c>
      <c r="G11">
        <v>0</v>
      </c>
      <c r="H11">
        <f t="shared" si="0"/>
        <v>1</v>
      </c>
      <c r="N11">
        <f>COUNTIF($B$2:$B$221,N2)</f>
        <v>30</v>
      </c>
      <c r="O11">
        <f t="shared" ref="O11:R11" si="3">COUNTIF($B$2:$B$221,O2)</f>
        <v>55</v>
      </c>
      <c r="P11">
        <f t="shared" si="3"/>
        <v>55</v>
      </c>
      <c r="Q11">
        <f t="shared" si="3"/>
        <v>50</v>
      </c>
      <c r="R11">
        <f t="shared" si="3"/>
        <v>30</v>
      </c>
    </row>
    <row r="12" spans="1:18" x14ac:dyDescent="0.3">
      <c r="A12">
        <v>32</v>
      </c>
      <c r="B12">
        <v>1</v>
      </c>
      <c r="C12" t="s">
        <v>3</v>
      </c>
      <c r="D12">
        <v>4.51</v>
      </c>
      <c r="E12">
        <v>83.3</v>
      </c>
      <c r="F12">
        <v>4.51</v>
      </c>
      <c r="G12">
        <v>0</v>
      </c>
      <c r="H12">
        <f t="shared" si="0"/>
        <v>1</v>
      </c>
      <c r="J12">
        <f>AVERAGE(G2:G221)</f>
        <v>0.10909090909090909</v>
      </c>
      <c r="N12">
        <v>1</v>
      </c>
      <c r="O12">
        <v>2</v>
      </c>
      <c r="P12">
        <v>3</v>
      </c>
      <c r="Q12">
        <v>4</v>
      </c>
      <c r="R12">
        <v>5</v>
      </c>
    </row>
    <row r="13" spans="1:18" x14ac:dyDescent="0.3">
      <c r="A13">
        <v>47</v>
      </c>
      <c r="B13">
        <v>1</v>
      </c>
      <c r="C13" t="s">
        <v>3</v>
      </c>
      <c r="D13">
        <v>3.63</v>
      </c>
      <c r="E13">
        <v>70.8</v>
      </c>
      <c r="F13">
        <v>3.63</v>
      </c>
      <c r="G13">
        <v>0</v>
      </c>
      <c r="H13">
        <f t="shared" si="0"/>
        <v>1</v>
      </c>
    </row>
    <row r="14" spans="1:18" x14ac:dyDescent="0.3">
      <c r="A14">
        <v>6</v>
      </c>
      <c r="B14">
        <v>1</v>
      </c>
      <c r="C14" t="s">
        <v>4</v>
      </c>
      <c r="D14">
        <v>3.32</v>
      </c>
      <c r="E14">
        <v>74.8</v>
      </c>
      <c r="F14">
        <v>3.32</v>
      </c>
      <c r="G14">
        <v>0</v>
      </c>
      <c r="H14">
        <f t="shared" si="0"/>
        <v>1</v>
      </c>
    </row>
    <row r="15" spans="1:18" x14ac:dyDescent="0.3">
      <c r="A15">
        <v>15</v>
      </c>
      <c r="B15">
        <v>1</v>
      </c>
      <c r="C15" t="s">
        <v>4</v>
      </c>
      <c r="D15">
        <v>3.59</v>
      </c>
      <c r="E15">
        <v>77.7</v>
      </c>
      <c r="F15">
        <v>3.59</v>
      </c>
      <c r="G15">
        <v>0</v>
      </c>
      <c r="H15">
        <f t="shared" si="0"/>
        <v>1</v>
      </c>
    </row>
    <row r="16" spans="1:18" x14ac:dyDescent="0.3">
      <c r="A16">
        <v>19</v>
      </c>
      <c r="B16">
        <v>1</v>
      </c>
      <c r="C16" t="s">
        <v>4</v>
      </c>
      <c r="D16">
        <v>4.58</v>
      </c>
      <c r="E16">
        <v>76.3</v>
      </c>
      <c r="F16">
        <v>4.58</v>
      </c>
      <c r="G16">
        <v>1</v>
      </c>
      <c r="H16">
        <f t="shared" si="0"/>
        <v>1</v>
      </c>
    </row>
    <row r="17" spans="1:14" x14ac:dyDescent="0.3">
      <c r="A17">
        <v>24</v>
      </c>
      <c r="B17">
        <v>1</v>
      </c>
      <c r="C17" t="s">
        <v>4</v>
      </c>
      <c r="D17">
        <v>3.56</v>
      </c>
      <c r="E17">
        <v>61</v>
      </c>
      <c r="F17">
        <v>3.56</v>
      </c>
      <c r="G17">
        <v>0</v>
      </c>
      <c r="H17">
        <f t="shared" si="0"/>
        <v>1</v>
      </c>
      <c r="M17" t="s">
        <v>16</v>
      </c>
      <c r="N17" t="s">
        <v>12</v>
      </c>
    </row>
    <row r="18" spans="1:14" x14ac:dyDescent="0.3">
      <c r="A18">
        <v>32</v>
      </c>
      <c r="B18">
        <v>1</v>
      </c>
      <c r="C18" t="s">
        <v>4</v>
      </c>
      <c r="D18">
        <v>4.34</v>
      </c>
      <c r="E18">
        <v>61.4</v>
      </c>
      <c r="F18">
        <v>4.34</v>
      </c>
      <c r="G18">
        <v>0</v>
      </c>
      <c r="H18">
        <f t="shared" si="0"/>
        <v>1</v>
      </c>
      <c r="M18" t="s">
        <v>17</v>
      </c>
      <c r="N18" t="s">
        <v>13</v>
      </c>
    </row>
    <row r="19" spans="1:14" x14ac:dyDescent="0.3">
      <c r="A19">
        <v>47</v>
      </c>
      <c r="B19">
        <v>1</v>
      </c>
      <c r="C19" t="s">
        <v>4</v>
      </c>
      <c r="D19">
        <v>4.29</v>
      </c>
      <c r="E19">
        <v>67.099999999999994</v>
      </c>
      <c r="F19">
        <v>4.29</v>
      </c>
      <c r="G19">
        <v>0</v>
      </c>
      <c r="H19">
        <f t="shared" si="0"/>
        <v>1</v>
      </c>
      <c r="M19" t="s">
        <v>18</v>
      </c>
      <c r="N19" t="s">
        <v>14</v>
      </c>
    </row>
    <row r="20" spans="1:14" x14ac:dyDescent="0.3">
      <c r="A20">
        <v>6</v>
      </c>
      <c r="B20">
        <v>1</v>
      </c>
      <c r="C20" t="s">
        <v>6</v>
      </c>
      <c r="D20">
        <v>5.05</v>
      </c>
      <c r="E20">
        <v>64.8</v>
      </c>
      <c r="F20">
        <v>5.05</v>
      </c>
      <c r="G20">
        <v>0</v>
      </c>
      <c r="H20">
        <f t="shared" si="0"/>
        <v>1</v>
      </c>
      <c r="M20" t="s">
        <v>19</v>
      </c>
      <c r="N20" t="s">
        <v>15</v>
      </c>
    </row>
    <row r="21" spans="1:14" x14ac:dyDescent="0.3">
      <c r="A21">
        <v>15</v>
      </c>
      <c r="B21">
        <v>1</v>
      </c>
      <c r="C21" t="s">
        <v>6</v>
      </c>
      <c r="D21">
        <v>2.79</v>
      </c>
      <c r="E21">
        <v>84.3</v>
      </c>
      <c r="F21">
        <v>2.79</v>
      </c>
      <c r="G21">
        <v>0</v>
      </c>
      <c r="H21">
        <f t="shared" si="0"/>
        <v>1</v>
      </c>
      <c r="M21" t="s">
        <v>20</v>
      </c>
      <c r="N21" t="s">
        <v>21</v>
      </c>
    </row>
    <row r="22" spans="1:14" x14ac:dyDescent="0.3">
      <c r="A22">
        <v>19</v>
      </c>
      <c r="B22">
        <v>1</v>
      </c>
      <c r="C22" t="s">
        <v>6</v>
      </c>
      <c r="D22">
        <v>2.86</v>
      </c>
      <c r="E22">
        <v>66.8</v>
      </c>
      <c r="F22">
        <v>2.86</v>
      </c>
      <c r="G22">
        <v>0</v>
      </c>
      <c r="H22">
        <f t="shared" si="0"/>
        <v>1</v>
      </c>
    </row>
    <row r="23" spans="1:14" x14ac:dyDescent="0.3">
      <c r="A23">
        <v>24</v>
      </c>
      <c r="B23">
        <v>1</v>
      </c>
      <c r="C23" t="s">
        <v>6</v>
      </c>
      <c r="D23">
        <v>1.94</v>
      </c>
      <c r="E23">
        <v>83.3</v>
      </c>
      <c r="F23">
        <v>1.94</v>
      </c>
      <c r="G23">
        <v>0</v>
      </c>
      <c r="H23">
        <f t="shared" si="0"/>
        <v>1</v>
      </c>
    </row>
    <row r="24" spans="1:14" x14ac:dyDescent="0.3">
      <c r="A24">
        <v>32</v>
      </c>
      <c r="B24">
        <v>1</v>
      </c>
      <c r="C24" t="s">
        <v>6</v>
      </c>
      <c r="D24">
        <v>1.82</v>
      </c>
      <c r="E24">
        <v>90.4</v>
      </c>
      <c r="F24">
        <v>1.82</v>
      </c>
      <c r="G24">
        <v>0</v>
      </c>
      <c r="H24">
        <f t="shared" si="0"/>
        <v>1</v>
      </c>
    </row>
    <row r="25" spans="1:14" x14ac:dyDescent="0.3">
      <c r="A25">
        <v>47</v>
      </c>
      <c r="B25">
        <v>1</v>
      </c>
      <c r="C25" t="s">
        <v>6</v>
      </c>
      <c r="D25">
        <v>3.26</v>
      </c>
      <c r="E25">
        <v>62.4</v>
      </c>
      <c r="F25">
        <v>3.26</v>
      </c>
      <c r="G25">
        <v>0</v>
      </c>
      <c r="H25">
        <f t="shared" si="0"/>
        <v>1</v>
      </c>
    </row>
    <row r="26" spans="1:14" x14ac:dyDescent="0.3">
      <c r="A26">
        <v>6</v>
      </c>
      <c r="B26">
        <v>1</v>
      </c>
      <c r="C26" t="s">
        <v>5</v>
      </c>
      <c r="D26">
        <v>2.69</v>
      </c>
      <c r="E26">
        <v>68.2</v>
      </c>
      <c r="F26">
        <v>2.69</v>
      </c>
      <c r="G26">
        <v>0</v>
      </c>
      <c r="H26">
        <f t="shared" si="0"/>
        <v>1</v>
      </c>
    </row>
    <row r="27" spans="1:14" x14ac:dyDescent="0.3">
      <c r="A27">
        <v>15</v>
      </c>
      <c r="B27">
        <v>1</v>
      </c>
      <c r="C27" t="s">
        <v>5</v>
      </c>
      <c r="D27">
        <v>4.09</v>
      </c>
      <c r="E27">
        <v>70.7</v>
      </c>
      <c r="F27">
        <v>4.09</v>
      </c>
      <c r="G27">
        <v>0</v>
      </c>
      <c r="H27">
        <f t="shared" si="0"/>
        <v>1</v>
      </c>
    </row>
    <row r="28" spans="1:14" x14ac:dyDescent="0.3">
      <c r="A28">
        <v>19</v>
      </c>
      <c r="B28">
        <v>1</v>
      </c>
      <c r="C28" t="s">
        <v>5</v>
      </c>
      <c r="D28">
        <v>3.62</v>
      </c>
      <c r="E28">
        <v>88.4</v>
      </c>
      <c r="F28">
        <v>3.62</v>
      </c>
      <c r="G28">
        <v>0</v>
      </c>
      <c r="H28">
        <f t="shared" si="0"/>
        <v>1</v>
      </c>
    </row>
    <row r="29" spans="1:14" x14ac:dyDescent="0.3">
      <c r="A29">
        <v>24</v>
      </c>
      <c r="B29">
        <v>1</v>
      </c>
      <c r="C29" t="s">
        <v>5</v>
      </c>
      <c r="D29">
        <v>3.19</v>
      </c>
      <c r="E29">
        <v>81.3</v>
      </c>
      <c r="F29">
        <v>3.19</v>
      </c>
      <c r="G29">
        <v>0</v>
      </c>
      <c r="H29">
        <f t="shared" si="0"/>
        <v>1</v>
      </c>
    </row>
    <row r="30" spans="1:14" x14ac:dyDescent="0.3">
      <c r="A30">
        <v>32</v>
      </c>
      <c r="B30">
        <v>1</v>
      </c>
      <c r="C30" t="s">
        <v>5</v>
      </c>
      <c r="D30">
        <v>3.85</v>
      </c>
      <c r="E30">
        <v>64.400000000000006</v>
      </c>
      <c r="F30">
        <v>3.85</v>
      </c>
      <c r="G30">
        <v>0</v>
      </c>
      <c r="H30">
        <f t="shared" si="0"/>
        <v>1</v>
      </c>
    </row>
    <row r="31" spans="1:14" x14ac:dyDescent="0.3">
      <c r="A31">
        <v>47</v>
      </c>
      <c r="B31">
        <v>1</v>
      </c>
      <c r="C31" t="s">
        <v>5</v>
      </c>
      <c r="D31">
        <v>4.18</v>
      </c>
      <c r="E31">
        <v>67.5</v>
      </c>
      <c r="F31">
        <v>4.18</v>
      </c>
      <c r="G31">
        <v>0</v>
      </c>
      <c r="H31">
        <f t="shared" si="0"/>
        <v>1</v>
      </c>
    </row>
    <row r="32" spans="1:14" x14ac:dyDescent="0.3">
      <c r="A32">
        <v>3</v>
      </c>
      <c r="B32">
        <v>2</v>
      </c>
      <c r="C32" t="s">
        <v>2</v>
      </c>
      <c r="D32">
        <v>4.3899999999999997</v>
      </c>
      <c r="E32">
        <v>68.099999999999994</v>
      </c>
      <c r="F32">
        <v>4.3899999999999997</v>
      </c>
      <c r="G32">
        <v>0</v>
      </c>
      <c r="H32">
        <f t="shared" si="0"/>
        <v>1</v>
      </c>
    </row>
    <row r="33" spans="1:8" x14ac:dyDescent="0.3">
      <c r="A33">
        <v>7</v>
      </c>
      <c r="B33">
        <v>2</v>
      </c>
      <c r="C33" t="s">
        <v>2</v>
      </c>
      <c r="D33">
        <v>4.21</v>
      </c>
      <c r="E33">
        <v>67.7</v>
      </c>
      <c r="F33">
        <v>4.21</v>
      </c>
      <c r="G33">
        <v>0</v>
      </c>
      <c r="H33">
        <f t="shared" si="0"/>
        <v>1</v>
      </c>
    </row>
    <row r="34" spans="1:8" x14ac:dyDescent="0.3">
      <c r="A34">
        <v>8</v>
      </c>
      <c r="B34">
        <v>2</v>
      </c>
      <c r="C34" t="s">
        <v>2</v>
      </c>
      <c r="D34">
        <v>3.84</v>
      </c>
      <c r="E34">
        <v>82.7</v>
      </c>
      <c r="F34">
        <v>3.84</v>
      </c>
      <c r="G34">
        <v>0</v>
      </c>
      <c r="H34">
        <f t="shared" si="0"/>
        <v>1</v>
      </c>
    </row>
    <row r="35" spans="1:8" x14ac:dyDescent="0.3">
      <c r="A35">
        <v>9</v>
      </c>
      <c r="B35">
        <v>2</v>
      </c>
      <c r="C35" t="s">
        <v>2</v>
      </c>
      <c r="D35">
        <v>4.93</v>
      </c>
      <c r="E35">
        <v>70.900000000000006</v>
      </c>
      <c r="F35">
        <v>4.93</v>
      </c>
      <c r="G35">
        <v>0</v>
      </c>
      <c r="H35">
        <f t="shared" si="0"/>
        <v>1</v>
      </c>
    </row>
    <row r="36" spans="1:8" x14ac:dyDescent="0.3">
      <c r="A36">
        <v>12</v>
      </c>
      <c r="B36">
        <v>2</v>
      </c>
      <c r="C36" t="s">
        <v>2</v>
      </c>
      <c r="D36">
        <v>4.26</v>
      </c>
      <c r="E36">
        <v>83.4</v>
      </c>
      <c r="F36">
        <v>4.26</v>
      </c>
      <c r="G36">
        <v>0</v>
      </c>
      <c r="H36">
        <f t="shared" si="0"/>
        <v>1</v>
      </c>
    </row>
    <row r="37" spans="1:8" x14ac:dyDescent="0.3">
      <c r="A37">
        <v>16</v>
      </c>
      <c r="B37">
        <v>2</v>
      </c>
      <c r="C37" t="s">
        <v>2</v>
      </c>
      <c r="D37">
        <v>3.96</v>
      </c>
      <c r="E37">
        <v>72</v>
      </c>
      <c r="F37">
        <v>3.96</v>
      </c>
      <c r="G37">
        <v>0</v>
      </c>
      <c r="H37">
        <f t="shared" si="0"/>
        <v>1</v>
      </c>
    </row>
    <row r="38" spans="1:8" x14ac:dyDescent="0.3">
      <c r="A38">
        <v>30</v>
      </c>
      <c r="B38">
        <v>2</v>
      </c>
      <c r="C38" t="s">
        <v>2</v>
      </c>
      <c r="D38">
        <v>4.3099999999999996</v>
      </c>
      <c r="E38">
        <v>68.8</v>
      </c>
      <c r="F38">
        <v>4.3099999999999996</v>
      </c>
      <c r="G38">
        <v>0</v>
      </c>
      <c r="H38">
        <f t="shared" si="0"/>
        <v>1</v>
      </c>
    </row>
    <row r="39" spans="1:8" x14ac:dyDescent="0.3">
      <c r="A39">
        <v>31</v>
      </c>
      <c r="B39">
        <v>2</v>
      </c>
      <c r="C39" t="s">
        <v>2</v>
      </c>
      <c r="D39">
        <v>5.43</v>
      </c>
      <c r="E39">
        <v>78.2</v>
      </c>
      <c r="F39">
        <v>5.43</v>
      </c>
      <c r="G39">
        <v>0</v>
      </c>
      <c r="H39">
        <f t="shared" si="0"/>
        <v>1</v>
      </c>
    </row>
    <row r="40" spans="1:8" x14ac:dyDescent="0.3">
      <c r="A40">
        <v>38</v>
      </c>
      <c r="B40">
        <v>2</v>
      </c>
      <c r="C40" t="s">
        <v>2</v>
      </c>
      <c r="D40">
        <v>5.2</v>
      </c>
      <c r="E40">
        <v>78</v>
      </c>
      <c r="F40">
        <v>5.2</v>
      </c>
      <c r="G40">
        <v>0</v>
      </c>
      <c r="H40">
        <f t="shared" si="0"/>
        <v>1</v>
      </c>
    </row>
    <row r="41" spans="1:8" x14ac:dyDescent="0.3">
      <c r="A41">
        <v>42</v>
      </c>
      <c r="B41">
        <v>2</v>
      </c>
      <c r="C41" t="s">
        <v>2</v>
      </c>
      <c r="D41">
        <v>5.33</v>
      </c>
      <c r="E41">
        <v>73.900000000000006</v>
      </c>
      <c r="F41">
        <v>5.33</v>
      </c>
      <c r="G41">
        <v>0</v>
      </c>
      <c r="H41">
        <f t="shared" si="0"/>
        <v>1</v>
      </c>
    </row>
    <row r="42" spans="1:8" x14ac:dyDescent="0.3">
      <c r="A42">
        <v>44</v>
      </c>
      <c r="B42">
        <v>2</v>
      </c>
      <c r="C42" t="s">
        <v>2</v>
      </c>
      <c r="D42">
        <v>4.34</v>
      </c>
      <c r="E42">
        <v>62.2</v>
      </c>
      <c r="F42">
        <v>4.34</v>
      </c>
      <c r="G42">
        <v>0</v>
      </c>
      <c r="H42">
        <f t="shared" si="0"/>
        <v>1</v>
      </c>
    </row>
    <row r="43" spans="1:8" x14ac:dyDescent="0.3">
      <c r="A43">
        <v>3</v>
      </c>
      <c r="B43">
        <v>2</v>
      </c>
      <c r="C43" t="s">
        <v>3</v>
      </c>
      <c r="D43">
        <v>4.18</v>
      </c>
      <c r="E43">
        <v>70.7</v>
      </c>
      <c r="F43">
        <v>4.18</v>
      </c>
      <c r="G43">
        <v>0</v>
      </c>
      <c r="H43">
        <f t="shared" si="0"/>
        <v>1</v>
      </c>
    </row>
    <row r="44" spans="1:8" x14ac:dyDescent="0.3">
      <c r="A44">
        <v>7</v>
      </c>
      <c r="B44">
        <v>2</v>
      </c>
      <c r="C44" t="s">
        <v>3</v>
      </c>
      <c r="D44">
        <v>4.12</v>
      </c>
      <c r="E44">
        <v>83.8</v>
      </c>
      <c r="F44">
        <v>4.12</v>
      </c>
      <c r="G44">
        <v>0</v>
      </c>
      <c r="H44">
        <f t="shared" si="0"/>
        <v>1</v>
      </c>
    </row>
    <row r="45" spans="1:8" x14ac:dyDescent="0.3">
      <c r="A45">
        <v>8</v>
      </c>
      <c r="B45">
        <v>2</v>
      </c>
      <c r="C45" t="s">
        <v>3</v>
      </c>
      <c r="D45">
        <v>5.89</v>
      </c>
      <c r="E45">
        <v>67</v>
      </c>
      <c r="F45">
        <v>5.89</v>
      </c>
      <c r="G45">
        <v>0</v>
      </c>
      <c r="H45">
        <f t="shared" si="0"/>
        <v>1</v>
      </c>
    </row>
    <row r="46" spans="1:8" x14ac:dyDescent="0.3">
      <c r="A46">
        <v>9</v>
      </c>
      <c r="B46">
        <v>2</v>
      </c>
      <c r="C46" t="s">
        <v>3</v>
      </c>
      <c r="D46">
        <v>5.26</v>
      </c>
      <c r="E46">
        <v>86.7</v>
      </c>
      <c r="F46">
        <v>5.26</v>
      </c>
      <c r="G46">
        <v>0</v>
      </c>
      <c r="H46">
        <f t="shared" si="0"/>
        <v>1</v>
      </c>
    </row>
    <row r="47" spans="1:8" x14ac:dyDescent="0.3">
      <c r="A47">
        <v>12</v>
      </c>
      <c r="B47">
        <v>2</v>
      </c>
      <c r="C47" t="s">
        <v>3</v>
      </c>
      <c r="D47">
        <v>3.87</v>
      </c>
      <c r="E47">
        <v>84.5</v>
      </c>
      <c r="F47">
        <v>3.87</v>
      </c>
      <c r="G47">
        <v>0</v>
      </c>
      <c r="H47">
        <f t="shared" si="0"/>
        <v>1</v>
      </c>
    </row>
    <row r="48" spans="1:8" x14ac:dyDescent="0.3">
      <c r="A48">
        <v>16</v>
      </c>
      <c r="B48">
        <v>2</v>
      </c>
      <c r="C48" t="s">
        <v>3</v>
      </c>
      <c r="D48">
        <v>4.5999999999999996</v>
      </c>
      <c r="E48">
        <v>69.099999999999994</v>
      </c>
      <c r="F48">
        <v>4.5999999999999996</v>
      </c>
      <c r="G48">
        <v>0</v>
      </c>
      <c r="H48">
        <f t="shared" si="0"/>
        <v>1</v>
      </c>
    </row>
    <row r="49" spans="1:8" x14ac:dyDescent="0.3">
      <c r="A49">
        <v>30</v>
      </c>
      <c r="B49">
        <v>2</v>
      </c>
      <c r="C49" t="s">
        <v>3</v>
      </c>
      <c r="D49">
        <v>4.5999999999999996</v>
      </c>
      <c r="E49">
        <v>76.8</v>
      </c>
      <c r="F49">
        <v>4.5999999999999996</v>
      </c>
      <c r="G49">
        <v>0</v>
      </c>
      <c r="H49">
        <f t="shared" si="0"/>
        <v>1</v>
      </c>
    </row>
    <row r="50" spans="1:8" x14ac:dyDescent="0.3">
      <c r="A50">
        <v>31</v>
      </c>
      <c r="B50">
        <v>2</v>
      </c>
      <c r="C50" t="s">
        <v>3</v>
      </c>
      <c r="D50">
        <v>5.48</v>
      </c>
      <c r="E50">
        <v>83.4</v>
      </c>
      <c r="F50">
        <v>5.48</v>
      </c>
      <c r="G50">
        <v>1</v>
      </c>
      <c r="H50">
        <f t="shared" si="0"/>
        <v>1</v>
      </c>
    </row>
    <row r="51" spans="1:8" x14ac:dyDescent="0.3">
      <c r="A51">
        <v>38</v>
      </c>
      <c r="B51">
        <v>2</v>
      </c>
      <c r="C51" t="s">
        <v>3</v>
      </c>
      <c r="D51">
        <v>4.95</v>
      </c>
      <c r="E51">
        <v>89.5</v>
      </c>
      <c r="F51">
        <v>4.95</v>
      </c>
      <c r="G51">
        <v>0</v>
      </c>
      <c r="H51">
        <f t="shared" si="0"/>
        <v>1</v>
      </c>
    </row>
    <row r="52" spans="1:8" x14ac:dyDescent="0.3">
      <c r="A52">
        <v>42</v>
      </c>
      <c r="B52">
        <v>2</v>
      </c>
      <c r="C52" t="s">
        <v>3</v>
      </c>
      <c r="D52">
        <v>5.61</v>
      </c>
      <c r="E52">
        <v>87</v>
      </c>
      <c r="F52">
        <v>5.61</v>
      </c>
      <c r="G52">
        <v>0</v>
      </c>
      <c r="H52">
        <f t="shared" si="0"/>
        <v>1</v>
      </c>
    </row>
    <row r="53" spans="1:8" x14ac:dyDescent="0.3">
      <c r="A53">
        <v>44</v>
      </c>
      <c r="B53">
        <v>2</v>
      </c>
      <c r="C53" t="s">
        <v>3</v>
      </c>
      <c r="D53">
        <v>4.74</v>
      </c>
      <c r="E53">
        <v>80.400000000000006</v>
      </c>
      <c r="F53">
        <v>4.74</v>
      </c>
      <c r="G53">
        <v>0</v>
      </c>
      <c r="H53">
        <f t="shared" si="0"/>
        <v>1</v>
      </c>
    </row>
    <row r="54" spans="1:8" x14ac:dyDescent="0.3">
      <c r="A54">
        <v>3</v>
      </c>
      <c r="B54">
        <v>2</v>
      </c>
      <c r="C54" t="s">
        <v>4</v>
      </c>
      <c r="D54">
        <v>4.47</v>
      </c>
      <c r="E54">
        <v>81.599999999999994</v>
      </c>
      <c r="F54">
        <v>4.47</v>
      </c>
      <c r="G54">
        <v>0</v>
      </c>
      <c r="H54">
        <f t="shared" si="0"/>
        <v>1</v>
      </c>
    </row>
    <row r="55" spans="1:8" x14ac:dyDescent="0.3">
      <c r="A55">
        <v>7</v>
      </c>
      <c r="B55">
        <v>2</v>
      </c>
      <c r="C55" t="s">
        <v>4</v>
      </c>
      <c r="D55">
        <v>3.98</v>
      </c>
      <c r="E55">
        <v>75.900000000000006</v>
      </c>
      <c r="F55">
        <v>3.98</v>
      </c>
      <c r="G55">
        <v>0</v>
      </c>
      <c r="H55">
        <f t="shared" si="0"/>
        <v>1</v>
      </c>
    </row>
    <row r="56" spans="1:8" x14ac:dyDescent="0.3">
      <c r="A56">
        <v>8</v>
      </c>
      <c r="B56">
        <v>2</v>
      </c>
      <c r="C56" t="s">
        <v>4</v>
      </c>
      <c r="D56">
        <v>4.12</v>
      </c>
      <c r="E56">
        <v>71.400000000000006</v>
      </c>
      <c r="F56">
        <v>4.12</v>
      </c>
      <c r="G56">
        <v>0</v>
      </c>
      <c r="H56">
        <f t="shared" si="0"/>
        <v>1</v>
      </c>
    </row>
    <row r="57" spans="1:8" x14ac:dyDescent="0.3">
      <c r="A57">
        <v>9</v>
      </c>
      <c r="B57">
        <v>2</v>
      </c>
      <c r="C57" t="s">
        <v>4</v>
      </c>
      <c r="D57">
        <v>3.33</v>
      </c>
      <c r="E57">
        <v>80.3</v>
      </c>
      <c r="F57">
        <v>3.33</v>
      </c>
      <c r="G57">
        <v>0</v>
      </c>
      <c r="H57">
        <f t="shared" si="0"/>
        <v>1</v>
      </c>
    </row>
    <row r="58" spans="1:8" x14ac:dyDescent="0.3">
      <c r="A58">
        <v>12</v>
      </c>
      <c r="B58">
        <v>2</v>
      </c>
      <c r="C58" t="s">
        <v>4</v>
      </c>
      <c r="D58">
        <v>4.5</v>
      </c>
      <c r="E58">
        <v>68.099999999999994</v>
      </c>
      <c r="F58">
        <v>4.5</v>
      </c>
      <c r="G58">
        <v>0</v>
      </c>
      <c r="H58">
        <f t="shared" si="0"/>
        <v>1</v>
      </c>
    </row>
    <row r="59" spans="1:8" x14ac:dyDescent="0.3">
      <c r="A59">
        <v>16</v>
      </c>
      <c r="B59">
        <v>2</v>
      </c>
      <c r="C59" t="s">
        <v>4</v>
      </c>
      <c r="D59">
        <v>3.82</v>
      </c>
      <c r="E59">
        <v>69.2</v>
      </c>
      <c r="F59">
        <v>3.82</v>
      </c>
      <c r="G59">
        <v>0</v>
      </c>
      <c r="H59">
        <f t="shared" si="0"/>
        <v>1</v>
      </c>
    </row>
    <row r="60" spans="1:8" x14ac:dyDescent="0.3">
      <c r="A60">
        <v>30</v>
      </c>
      <c r="B60">
        <v>2</v>
      </c>
      <c r="C60" t="s">
        <v>4</v>
      </c>
      <c r="D60">
        <v>3.81</v>
      </c>
      <c r="E60">
        <v>55.1</v>
      </c>
      <c r="F60">
        <v>3.81</v>
      </c>
      <c r="G60">
        <v>1</v>
      </c>
      <c r="H60">
        <f t="shared" si="0"/>
        <v>1</v>
      </c>
    </row>
    <row r="61" spans="1:8" x14ac:dyDescent="0.3">
      <c r="A61">
        <v>31</v>
      </c>
      <c r="B61">
        <v>2</v>
      </c>
      <c r="C61" t="s">
        <v>4</v>
      </c>
      <c r="D61">
        <v>4.8899999999999997</v>
      </c>
      <c r="E61">
        <v>85.7</v>
      </c>
      <c r="F61">
        <v>4.8899999999999997</v>
      </c>
      <c r="G61">
        <v>0</v>
      </c>
      <c r="H61">
        <f t="shared" si="0"/>
        <v>1</v>
      </c>
    </row>
    <row r="62" spans="1:8" x14ac:dyDescent="0.3">
      <c r="A62">
        <v>38</v>
      </c>
      <c r="B62">
        <v>2</v>
      </c>
      <c r="C62" t="s">
        <v>4</v>
      </c>
      <c r="D62">
        <v>3.43</v>
      </c>
      <c r="E62">
        <v>79.8</v>
      </c>
      <c r="F62">
        <v>3.43</v>
      </c>
      <c r="G62">
        <v>0</v>
      </c>
      <c r="H62">
        <f t="shared" si="0"/>
        <v>1</v>
      </c>
    </row>
    <row r="63" spans="1:8" x14ac:dyDescent="0.3">
      <c r="A63">
        <v>42</v>
      </c>
      <c r="B63">
        <v>2</v>
      </c>
      <c r="C63" t="s">
        <v>4</v>
      </c>
      <c r="D63">
        <v>3.7</v>
      </c>
      <c r="E63">
        <v>73.900000000000006</v>
      </c>
      <c r="F63">
        <v>3.7</v>
      </c>
      <c r="G63">
        <v>0</v>
      </c>
      <c r="H63">
        <f t="shared" si="0"/>
        <v>1</v>
      </c>
    </row>
    <row r="64" spans="1:8" x14ac:dyDescent="0.3">
      <c r="A64">
        <v>44</v>
      </c>
      <c r="B64">
        <v>2</v>
      </c>
      <c r="C64" t="s">
        <v>4</v>
      </c>
      <c r="D64">
        <v>4.1399999999999997</v>
      </c>
      <c r="E64">
        <v>70.7</v>
      </c>
      <c r="F64">
        <v>4.1399999999999997</v>
      </c>
      <c r="G64">
        <v>1</v>
      </c>
      <c r="H64">
        <f t="shared" si="0"/>
        <v>1</v>
      </c>
    </row>
    <row r="65" spans="1:8" x14ac:dyDescent="0.3">
      <c r="A65">
        <v>3</v>
      </c>
      <c r="B65">
        <v>2</v>
      </c>
      <c r="C65" t="s">
        <v>6</v>
      </c>
      <c r="D65">
        <v>4.13</v>
      </c>
      <c r="E65">
        <v>78.8</v>
      </c>
      <c r="F65">
        <v>4.13</v>
      </c>
      <c r="G65">
        <v>0</v>
      </c>
      <c r="H65">
        <f t="shared" si="0"/>
        <v>1</v>
      </c>
    </row>
    <row r="66" spans="1:8" x14ac:dyDescent="0.3">
      <c r="A66">
        <v>7</v>
      </c>
      <c r="B66">
        <v>2</v>
      </c>
      <c r="C66" t="s">
        <v>6</v>
      </c>
      <c r="D66">
        <v>3.48</v>
      </c>
      <c r="E66">
        <v>79.5</v>
      </c>
      <c r="F66">
        <v>3.48</v>
      </c>
      <c r="G66">
        <v>0</v>
      </c>
      <c r="H66">
        <f t="shared" si="0"/>
        <v>1</v>
      </c>
    </row>
    <row r="67" spans="1:8" x14ac:dyDescent="0.3">
      <c r="A67">
        <v>8</v>
      </c>
      <c r="B67">
        <v>2</v>
      </c>
      <c r="C67" t="s">
        <v>6</v>
      </c>
      <c r="D67">
        <v>3.37</v>
      </c>
      <c r="E67">
        <v>79.7</v>
      </c>
      <c r="F67">
        <v>3.37</v>
      </c>
      <c r="G67">
        <v>0</v>
      </c>
      <c r="H67">
        <f t="shared" ref="H67:H130" si="4">COUNTIFS($D$2:$D$221,D67,$E$2:$E$221,E67)</f>
        <v>1</v>
      </c>
    </row>
    <row r="68" spans="1:8" x14ac:dyDescent="0.3">
      <c r="A68">
        <v>9</v>
      </c>
      <c r="B68">
        <v>2</v>
      </c>
      <c r="C68" t="s">
        <v>6</v>
      </c>
      <c r="D68">
        <v>1.22</v>
      </c>
      <c r="E68">
        <v>83</v>
      </c>
      <c r="F68">
        <v>1.22</v>
      </c>
      <c r="G68">
        <v>0</v>
      </c>
      <c r="H68">
        <f t="shared" si="4"/>
        <v>1</v>
      </c>
    </row>
    <row r="69" spans="1:8" x14ac:dyDescent="0.3">
      <c r="A69">
        <v>12</v>
      </c>
      <c r="B69">
        <v>2</v>
      </c>
      <c r="C69" t="s">
        <v>6</v>
      </c>
      <c r="D69">
        <v>2.52</v>
      </c>
      <c r="E69">
        <v>66.400000000000006</v>
      </c>
      <c r="F69">
        <v>2.52</v>
      </c>
      <c r="G69">
        <v>0</v>
      </c>
      <c r="H69">
        <f t="shared" si="4"/>
        <v>1</v>
      </c>
    </row>
    <row r="70" spans="1:8" x14ac:dyDescent="0.3">
      <c r="A70">
        <v>16</v>
      </c>
      <c r="B70">
        <v>2</v>
      </c>
      <c r="C70" t="s">
        <v>6</v>
      </c>
      <c r="D70">
        <v>3.17</v>
      </c>
      <c r="E70">
        <v>81.099999999999994</v>
      </c>
      <c r="F70">
        <v>3.17</v>
      </c>
      <c r="G70">
        <v>0</v>
      </c>
      <c r="H70">
        <f t="shared" si="4"/>
        <v>1</v>
      </c>
    </row>
    <row r="71" spans="1:8" x14ac:dyDescent="0.3">
      <c r="A71">
        <v>30</v>
      </c>
      <c r="B71">
        <v>2</v>
      </c>
      <c r="C71" t="s">
        <v>6</v>
      </c>
      <c r="D71">
        <v>5.23</v>
      </c>
      <c r="E71">
        <v>76.099999999999994</v>
      </c>
      <c r="F71">
        <v>5.23</v>
      </c>
      <c r="G71">
        <v>0</v>
      </c>
      <c r="H71">
        <f t="shared" si="4"/>
        <v>1</v>
      </c>
    </row>
    <row r="72" spans="1:8" x14ac:dyDescent="0.3">
      <c r="A72">
        <v>31</v>
      </c>
      <c r="B72">
        <v>2</v>
      </c>
      <c r="C72" t="s">
        <v>6</v>
      </c>
      <c r="D72">
        <v>3.12</v>
      </c>
      <c r="E72">
        <v>86.1</v>
      </c>
      <c r="F72">
        <v>3.12</v>
      </c>
      <c r="G72">
        <v>0</v>
      </c>
      <c r="H72">
        <f t="shared" si="4"/>
        <v>1</v>
      </c>
    </row>
    <row r="73" spans="1:8" x14ac:dyDescent="0.3">
      <c r="A73">
        <v>38</v>
      </c>
      <c r="B73">
        <v>2</v>
      </c>
      <c r="C73" t="s">
        <v>6</v>
      </c>
      <c r="D73">
        <v>3.21</v>
      </c>
      <c r="E73">
        <v>85.3</v>
      </c>
      <c r="F73">
        <v>3.21</v>
      </c>
      <c r="G73">
        <v>0</v>
      </c>
      <c r="H73">
        <f t="shared" si="4"/>
        <v>1</v>
      </c>
    </row>
    <row r="74" spans="1:8" x14ac:dyDescent="0.3">
      <c r="A74">
        <v>42</v>
      </c>
      <c r="B74">
        <v>2</v>
      </c>
      <c r="C74" t="s">
        <v>6</v>
      </c>
      <c r="D74">
        <v>3.74</v>
      </c>
      <c r="E74">
        <v>64.3</v>
      </c>
      <c r="F74">
        <v>3.74</v>
      </c>
      <c r="G74">
        <v>0</v>
      </c>
      <c r="H74">
        <f t="shared" si="4"/>
        <v>1</v>
      </c>
    </row>
    <row r="75" spans="1:8" x14ac:dyDescent="0.3">
      <c r="A75">
        <v>44</v>
      </c>
      <c r="B75">
        <v>2</v>
      </c>
      <c r="C75" t="s">
        <v>6</v>
      </c>
      <c r="D75">
        <v>2.8</v>
      </c>
      <c r="E75">
        <v>75.599999999999994</v>
      </c>
      <c r="F75">
        <v>2.8</v>
      </c>
      <c r="G75">
        <v>0</v>
      </c>
      <c r="H75">
        <f t="shared" si="4"/>
        <v>1</v>
      </c>
    </row>
    <row r="76" spans="1:8" x14ac:dyDescent="0.3">
      <c r="A76">
        <v>3</v>
      </c>
      <c r="B76">
        <v>2</v>
      </c>
      <c r="C76" t="s">
        <v>5</v>
      </c>
      <c r="D76">
        <v>4.26</v>
      </c>
      <c r="E76">
        <v>87.7</v>
      </c>
      <c r="F76">
        <v>4.26</v>
      </c>
      <c r="G76">
        <v>1</v>
      </c>
      <c r="H76">
        <f t="shared" si="4"/>
        <v>1</v>
      </c>
    </row>
    <row r="77" spans="1:8" x14ac:dyDescent="0.3">
      <c r="A77">
        <v>7</v>
      </c>
      <c r="B77">
        <v>2</v>
      </c>
      <c r="C77" t="s">
        <v>5</v>
      </c>
      <c r="D77">
        <v>4.5</v>
      </c>
      <c r="E77">
        <v>94.7</v>
      </c>
      <c r="F77">
        <v>4.5</v>
      </c>
      <c r="G77">
        <v>0</v>
      </c>
      <c r="H77">
        <f t="shared" si="4"/>
        <v>1</v>
      </c>
    </row>
    <row r="78" spans="1:8" x14ac:dyDescent="0.3">
      <c r="A78">
        <v>8</v>
      </c>
      <c r="B78">
        <v>2</v>
      </c>
      <c r="C78" t="s">
        <v>5</v>
      </c>
      <c r="D78">
        <v>3.53</v>
      </c>
      <c r="E78">
        <v>91.8</v>
      </c>
      <c r="F78">
        <v>3.53</v>
      </c>
      <c r="G78">
        <v>0</v>
      </c>
      <c r="H78">
        <f t="shared" si="4"/>
        <v>1</v>
      </c>
    </row>
    <row r="79" spans="1:8" x14ac:dyDescent="0.3">
      <c r="A79">
        <v>9</v>
      </c>
      <c r="B79">
        <v>2</v>
      </c>
      <c r="C79" t="s">
        <v>5</v>
      </c>
      <c r="D79">
        <v>3.74</v>
      </c>
      <c r="E79">
        <v>80.2</v>
      </c>
      <c r="F79">
        <v>3.74</v>
      </c>
      <c r="G79">
        <v>1</v>
      </c>
      <c r="H79">
        <f t="shared" si="4"/>
        <v>1</v>
      </c>
    </row>
    <row r="80" spans="1:8" x14ac:dyDescent="0.3">
      <c r="A80">
        <v>12</v>
      </c>
      <c r="B80">
        <v>2</v>
      </c>
      <c r="C80" t="s">
        <v>5</v>
      </c>
      <c r="D80">
        <v>4.1500000000000004</v>
      </c>
      <c r="E80">
        <v>85.9</v>
      </c>
      <c r="F80">
        <v>4.1500000000000004</v>
      </c>
      <c r="G80">
        <v>1</v>
      </c>
      <c r="H80">
        <f t="shared" si="4"/>
        <v>1</v>
      </c>
    </row>
    <row r="81" spans="1:8" x14ac:dyDescent="0.3">
      <c r="A81">
        <v>16</v>
      </c>
      <c r="B81">
        <v>2</v>
      </c>
      <c r="C81" t="s">
        <v>5</v>
      </c>
      <c r="D81">
        <v>2.48</v>
      </c>
      <c r="E81">
        <v>92.7</v>
      </c>
      <c r="F81">
        <v>2.48</v>
      </c>
      <c r="G81">
        <v>0</v>
      </c>
      <c r="H81">
        <f t="shared" si="4"/>
        <v>1</v>
      </c>
    </row>
    <row r="82" spans="1:8" x14ac:dyDescent="0.3">
      <c r="A82">
        <v>30</v>
      </c>
      <c r="B82">
        <v>2</v>
      </c>
      <c r="C82" t="s">
        <v>5</v>
      </c>
      <c r="D82">
        <v>3.56</v>
      </c>
      <c r="E82">
        <v>93.5</v>
      </c>
      <c r="F82">
        <v>3.56</v>
      </c>
      <c r="G82">
        <v>1</v>
      </c>
      <c r="H82">
        <f t="shared" si="4"/>
        <v>1</v>
      </c>
    </row>
    <row r="83" spans="1:8" x14ac:dyDescent="0.3">
      <c r="A83">
        <v>31</v>
      </c>
      <c r="B83">
        <v>2</v>
      </c>
      <c r="C83" t="s">
        <v>5</v>
      </c>
      <c r="D83">
        <v>3.63</v>
      </c>
      <c r="E83">
        <v>88</v>
      </c>
      <c r="F83">
        <v>3.63</v>
      </c>
      <c r="G83">
        <v>0</v>
      </c>
      <c r="H83">
        <f t="shared" si="4"/>
        <v>1</v>
      </c>
    </row>
    <row r="84" spans="1:8" x14ac:dyDescent="0.3">
      <c r="A84">
        <v>38</v>
      </c>
      <c r="B84">
        <v>2</v>
      </c>
      <c r="C84" t="s">
        <v>5</v>
      </c>
      <c r="D84">
        <v>4.3600000000000003</v>
      </c>
      <c r="E84">
        <v>93.9</v>
      </c>
      <c r="F84">
        <v>4.3600000000000003</v>
      </c>
      <c r="G84">
        <v>0</v>
      </c>
      <c r="H84">
        <f t="shared" si="4"/>
        <v>1</v>
      </c>
    </row>
    <row r="85" spans="1:8" x14ac:dyDescent="0.3">
      <c r="A85">
        <v>42</v>
      </c>
      <c r="B85">
        <v>2</v>
      </c>
      <c r="C85" t="s">
        <v>5</v>
      </c>
      <c r="D85">
        <v>3.88</v>
      </c>
      <c r="E85">
        <v>99.1</v>
      </c>
      <c r="F85">
        <v>3.88</v>
      </c>
      <c r="G85">
        <v>0</v>
      </c>
      <c r="H85">
        <f t="shared" si="4"/>
        <v>1</v>
      </c>
    </row>
    <row r="86" spans="1:8" x14ac:dyDescent="0.3">
      <c r="A86">
        <v>44</v>
      </c>
      <c r="B86">
        <v>2</v>
      </c>
      <c r="C86" t="s">
        <v>5</v>
      </c>
      <c r="D86">
        <v>4.3</v>
      </c>
      <c r="E86">
        <v>95.6</v>
      </c>
      <c r="F86">
        <v>4.3</v>
      </c>
      <c r="G86">
        <v>0</v>
      </c>
      <c r="H86">
        <f t="shared" si="4"/>
        <v>1</v>
      </c>
    </row>
    <row r="87" spans="1:8" x14ac:dyDescent="0.3">
      <c r="A87">
        <v>1</v>
      </c>
      <c r="B87">
        <v>3</v>
      </c>
      <c r="C87" t="s">
        <v>2</v>
      </c>
      <c r="D87">
        <v>5.97</v>
      </c>
      <c r="E87">
        <v>66.8</v>
      </c>
      <c r="F87">
        <v>5.97</v>
      </c>
      <c r="G87">
        <v>0</v>
      </c>
      <c r="H87">
        <f t="shared" si="4"/>
        <v>1</v>
      </c>
    </row>
    <row r="88" spans="1:8" x14ac:dyDescent="0.3">
      <c r="A88">
        <v>11</v>
      </c>
      <c r="B88">
        <v>3</v>
      </c>
      <c r="C88" t="s">
        <v>2</v>
      </c>
      <c r="D88">
        <v>5.36</v>
      </c>
      <c r="E88">
        <v>81.8</v>
      </c>
      <c r="F88">
        <v>5.36</v>
      </c>
      <c r="G88">
        <v>0</v>
      </c>
      <c r="H88">
        <f t="shared" si="4"/>
        <v>1</v>
      </c>
    </row>
    <row r="89" spans="1:8" x14ac:dyDescent="0.3">
      <c r="A89">
        <v>20</v>
      </c>
      <c r="B89">
        <v>3</v>
      </c>
      <c r="C89" t="s">
        <v>2</v>
      </c>
      <c r="D89">
        <v>5.98</v>
      </c>
      <c r="E89">
        <v>84.1</v>
      </c>
      <c r="F89">
        <v>5.98</v>
      </c>
      <c r="G89">
        <v>0</v>
      </c>
      <c r="H89">
        <f t="shared" si="4"/>
        <v>1</v>
      </c>
    </row>
    <row r="90" spans="1:8" x14ac:dyDescent="0.3">
      <c r="A90">
        <v>23</v>
      </c>
      <c r="B90">
        <v>3</v>
      </c>
      <c r="C90" t="s">
        <v>2</v>
      </c>
      <c r="D90">
        <v>3.28</v>
      </c>
      <c r="E90">
        <v>71.599999999999994</v>
      </c>
      <c r="F90">
        <v>3.28</v>
      </c>
      <c r="G90">
        <v>0</v>
      </c>
      <c r="H90">
        <f t="shared" si="4"/>
        <v>1</v>
      </c>
    </row>
    <row r="91" spans="1:8" x14ac:dyDescent="0.3">
      <c r="A91">
        <v>27</v>
      </c>
      <c r="B91">
        <v>3</v>
      </c>
      <c r="C91" t="s">
        <v>2</v>
      </c>
      <c r="D91">
        <v>4.88</v>
      </c>
      <c r="E91">
        <v>91.1</v>
      </c>
      <c r="F91">
        <v>4.88</v>
      </c>
      <c r="G91">
        <v>1</v>
      </c>
      <c r="H91">
        <f t="shared" si="4"/>
        <v>1</v>
      </c>
    </row>
    <row r="92" spans="1:8" x14ac:dyDescent="0.3">
      <c r="A92">
        <v>33</v>
      </c>
      <c r="B92">
        <v>3</v>
      </c>
      <c r="C92" t="s">
        <v>2</v>
      </c>
      <c r="D92">
        <v>5.64</v>
      </c>
      <c r="E92">
        <v>74.599999999999994</v>
      </c>
      <c r="F92">
        <v>5.64</v>
      </c>
      <c r="G92">
        <v>0</v>
      </c>
      <c r="H92">
        <f t="shared" si="4"/>
        <v>1</v>
      </c>
    </row>
    <row r="93" spans="1:8" x14ac:dyDescent="0.3">
      <c r="A93">
        <v>34</v>
      </c>
      <c r="B93">
        <v>3</v>
      </c>
      <c r="C93" t="s">
        <v>2</v>
      </c>
      <c r="D93">
        <v>5.13</v>
      </c>
      <c r="E93">
        <v>86.5</v>
      </c>
      <c r="F93">
        <v>5.13</v>
      </c>
      <c r="G93">
        <v>0</v>
      </c>
      <c r="H93">
        <f t="shared" si="4"/>
        <v>1</v>
      </c>
    </row>
    <row r="94" spans="1:8" x14ac:dyDescent="0.3">
      <c r="A94">
        <v>39</v>
      </c>
      <c r="B94">
        <v>3</v>
      </c>
      <c r="C94" t="s">
        <v>2</v>
      </c>
      <c r="D94">
        <v>6.05</v>
      </c>
      <c r="E94">
        <v>68.900000000000006</v>
      </c>
      <c r="F94">
        <v>6.05</v>
      </c>
      <c r="G94">
        <v>0</v>
      </c>
      <c r="H94">
        <f t="shared" si="4"/>
        <v>1</v>
      </c>
    </row>
    <row r="95" spans="1:8" x14ac:dyDescent="0.3">
      <c r="A95">
        <v>40</v>
      </c>
      <c r="B95">
        <v>3</v>
      </c>
      <c r="C95" t="s">
        <v>2</v>
      </c>
      <c r="D95">
        <v>5.19</v>
      </c>
      <c r="E95">
        <v>85.7</v>
      </c>
      <c r="F95">
        <v>5.19</v>
      </c>
      <c r="G95">
        <v>0</v>
      </c>
      <c r="H95">
        <f t="shared" si="4"/>
        <v>1</v>
      </c>
    </row>
    <row r="96" spans="1:8" x14ac:dyDescent="0.3">
      <c r="A96">
        <v>48</v>
      </c>
      <c r="B96">
        <v>3</v>
      </c>
      <c r="C96" t="s">
        <v>2</v>
      </c>
      <c r="D96">
        <v>6.47</v>
      </c>
      <c r="E96">
        <v>98</v>
      </c>
      <c r="F96">
        <v>6.47</v>
      </c>
      <c r="G96">
        <v>0</v>
      </c>
      <c r="H96">
        <f t="shared" si="4"/>
        <v>1</v>
      </c>
    </row>
    <row r="97" spans="1:8" x14ac:dyDescent="0.3">
      <c r="A97">
        <v>50</v>
      </c>
      <c r="B97">
        <v>3</v>
      </c>
      <c r="C97" t="s">
        <v>2</v>
      </c>
      <c r="D97">
        <v>4.87</v>
      </c>
      <c r="E97">
        <v>82.6</v>
      </c>
      <c r="F97">
        <v>4.87</v>
      </c>
      <c r="G97">
        <v>0</v>
      </c>
      <c r="H97">
        <f t="shared" si="4"/>
        <v>1</v>
      </c>
    </row>
    <row r="98" spans="1:8" x14ac:dyDescent="0.3">
      <c r="A98">
        <v>1</v>
      </c>
      <c r="B98">
        <v>3</v>
      </c>
      <c r="C98" t="s">
        <v>3</v>
      </c>
      <c r="D98">
        <v>4.93</v>
      </c>
      <c r="E98">
        <v>83.5</v>
      </c>
      <c r="F98">
        <v>4.93</v>
      </c>
      <c r="G98">
        <v>0</v>
      </c>
      <c r="H98">
        <f t="shared" si="4"/>
        <v>1</v>
      </c>
    </row>
    <row r="99" spans="1:8" x14ac:dyDescent="0.3">
      <c r="A99">
        <v>11</v>
      </c>
      <c r="B99">
        <v>3</v>
      </c>
      <c r="C99" t="s">
        <v>3</v>
      </c>
      <c r="D99">
        <v>6.47</v>
      </c>
      <c r="E99">
        <v>93.1</v>
      </c>
      <c r="F99">
        <v>6.47</v>
      </c>
      <c r="G99">
        <v>0</v>
      </c>
      <c r="H99">
        <f t="shared" si="4"/>
        <v>1</v>
      </c>
    </row>
    <row r="100" spans="1:8" x14ac:dyDescent="0.3">
      <c r="A100">
        <v>20</v>
      </c>
      <c r="B100">
        <v>3</v>
      </c>
      <c r="C100" t="s">
        <v>3</v>
      </c>
      <c r="D100">
        <v>5.75</v>
      </c>
      <c r="E100">
        <v>81.099999999999994</v>
      </c>
      <c r="F100">
        <v>5.75</v>
      </c>
      <c r="G100">
        <v>0</v>
      </c>
      <c r="H100">
        <f t="shared" si="4"/>
        <v>1</v>
      </c>
    </row>
    <row r="101" spans="1:8" x14ac:dyDescent="0.3">
      <c r="A101">
        <v>23</v>
      </c>
      <c r="B101">
        <v>3</v>
      </c>
      <c r="C101" t="s">
        <v>3</v>
      </c>
      <c r="D101">
        <v>4.92</v>
      </c>
      <c r="E101">
        <v>89.2</v>
      </c>
      <c r="F101">
        <v>4.92</v>
      </c>
      <c r="G101">
        <v>0</v>
      </c>
      <c r="H101">
        <f t="shared" si="4"/>
        <v>1</v>
      </c>
    </row>
    <row r="102" spans="1:8" x14ac:dyDescent="0.3">
      <c r="A102">
        <v>27</v>
      </c>
      <c r="B102">
        <v>3</v>
      </c>
      <c r="C102" t="s">
        <v>3</v>
      </c>
      <c r="D102">
        <v>5.26</v>
      </c>
      <c r="E102">
        <v>82.7</v>
      </c>
      <c r="F102">
        <v>5.26</v>
      </c>
      <c r="G102">
        <v>0</v>
      </c>
      <c r="H102">
        <f t="shared" si="4"/>
        <v>1</v>
      </c>
    </row>
    <row r="103" spans="1:8" x14ac:dyDescent="0.3">
      <c r="A103">
        <v>33</v>
      </c>
      <c r="B103">
        <v>3</v>
      </c>
      <c r="C103" t="s">
        <v>3</v>
      </c>
      <c r="D103">
        <v>5.26</v>
      </c>
      <c r="E103">
        <v>94</v>
      </c>
      <c r="F103">
        <v>5.26</v>
      </c>
      <c r="G103">
        <v>0</v>
      </c>
      <c r="H103">
        <f t="shared" si="4"/>
        <v>1</v>
      </c>
    </row>
    <row r="104" spans="1:8" x14ac:dyDescent="0.3">
      <c r="A104">
        <v>34</v>
      </c>
      <c r="B104">
        <v>3</v>
      </c>
      <c r="C104" t="s">
        <v>3</v>
      </c>
      <c r="D104">
        <v>4.7</v>
      </c>
      <c r="E104">
        <v>80.7</v>
      </c>
      <c r="F104">
        <v>4.7</v>
      </c>
      <c r="G104">
        <v>0</v>
      </c>
      <c r="H104">
        <f t="shared" si="4"/>
        <v>1</v>
      </c>
    </row>
    <row r="105" spans="1:8" x14ac:dyDescent="0.3">
      <c r="A105">
        <v>39</v>
      </c>
      <c r="B105">
        <v>3</v>
      </c>
      <c r="C105" t="s">
        <v>3</v>
      </c>
      <c r="D105">
        <v>6.59</v>
      </c>
      <c r="E105">
        <v>100</v>
      </c>
      <c r="F105">
        <v>6.59</v>
      </c>
      <c r="G105">
        <v>0</v>
      </c>
      <c r="H105">
        <f t="shared" si="4"/>
        <v>1</v>
      </c>
    </row>
    <row r="106" spans="1:8" x14ac:dyDescent="0.3">
      <c r="A106">
        <v>40</v>
      </c>
      <c r="B106">
        <v>3</v>
      </c>
      <c r="C106" t="s">
        <v>3</v>
      </c>
      <c r="D106">
        <v>5.82</v>
      </c>
      <c r="E106">
        <v>91.2</v>
      </c>
      <c r="F106">
        <v>5.82</v>
      </c>
      <c r="G106">
        <v>0</v>
      </c>
      <c r="H106">
        <f t="shared" si="4"/>
        <v>1</v>
      </c>
    </row>
    <row r="107" spans="1:8" x14ac:dyDescent="0.3">
      <c r="A107">
        <v>48</v>
      </c>
      <c r="B107">
        <v>3</v>
      </c>
      <c r="C107" t="s">
        <v>3</v>
      </c>
      <c r="D107">
        <v>5.39</v>
      </c>
      <c r="E107">
        <v>97.6</v>
      </c>
      <c r="F107">
        <v>5.39</v>
      </c>
      <c r="G107">
        <v>0</v>
      </c>
      <c r="H107">
        <f t="shared" si="4"/>
        <v>1</v>
      </c>
    </row>
    <row r="108" spans="1:8" x14ac:dyDescent="0.3">
      <c r="A108">
        <v>50</v>
      </c>
      <c r="B108">
        <v>3</v>
      </c>
      <c r="C108" t="s">
        <v>3</v>
      </c>
      <c r="D108">
        <v>5.92</v>
      </c>
      <c r="E108">
        <v>90</v>
      </c>
      <c r="F108">
        <v>5.92</v>
      </c>
      <c r="G108">
        <v>0</v>
      </c>
      <c r="H108">
        <f t="shared" si="4"/>
        <v>1</v>
      </c>
    </row>
    <row r="109" spans="1:8" x14ac:dyDescent="0.3">
      <c r="A109">
        <v>1</v>
      </c>
      <c r="B109">
        <v>3</v>
      </c>
      <c r="C109" t="s">
        <v>4</v>
      </c>
      <c r="D109">
        <v>4.76</v>
      </c>
      <c r="E109">
        <v>88.3</v>
      </c>
      <c r="F109">
        <v>4.76</v>
      </c>
      <c r="G109">
        <v>0</v>
      </c>
      <c r="H109">
        <f t="shared" si="4"/>
        <v>1</v>
      </c>
    </row>
    <row r="110" spans="1:8" x14ac:dyDescent="0.3">
      <c r="A110">
        <v>11</v>
      </c>
      <c r="B110">
        <v>3</v>
      </c>
      <c r="C110" t="s">
        <v>4</v>
      </c>
      <c r="D110">
        <v>3.73</v>
      </c>
      <c r="E110">
        <v>75.599999999999994</v>
      </c>
      <c r="F110">
        <v>3.73</v>
      </c>
      <c r="G110">
        <v>0</v>
      </c>
      <c r="H110">
        <f t="shared" si="4"/>
        <v>1</v>
      </c>
    </row>
    <row r="111" spans="1:8" x14ac:dyDescent="0.3">
      <c r="A111">
        <v>20</v>
      </c>
      <c r="B111">
        <v>3</v>
      </c>
      <c r="C111" t="s">
        <v>4</v>
      </c>
      <c r="D111">
        <v>3.61</v>
      </c>
      <c r="E111">
        <v>78.2</v>
      </c>
      <c r="F111">
        <v>3.61</v>
      </c>
      <c r="G111">
        <v>0</v>
      </c>
      <c r="H111">
        <f t="shared" si="4"/>
        <v>1</v>
      </c>
    </row>
    <row r="112" spans="1:8" x14ac:dyDescent="0.3">
      <c r="A112">
        <v>23</v>
      </c>
      <c r="B112">
        <v>3</v>
      </c>
      <c r="C112" t="s">
        <v>4</v>
      </c>
      <c r="D112">
        <v>4.67</v>
      </c>
      <c r="E112">
        <v>79.400000000000006</v>
      </c>
      <c r="F112">
        <v>4.67</v>
      </c>
      <c r="G112">
        <v>1</v>
      </c>
      <c r="H112">
        <f t="shared" si="4"/>
        <v>1</v>
      </c>
    </row>
    <row r="113" spans="1:8" x14ac:dyDescent="0.3">
      <c r="A113">
        <v>27</v>
      </c>
      <c r="B113">
        <v>3</v>
      </c>
      <c r="C113" t="s">
        <v>4</v>
      </c>
      <c r="D113">
        <v>3.77</v>
      </c>
      <c r="E113">
        <v>84.3</v>
      </c>
      <c r="F113">
        <v>3.77</v>
      </c>
      <c r="G113">
        <v>0</v>
      </c>
      <c r="H113">
        <f t="shared" si="4"/>
        <v>1</v>
      </c>
    </row>
    <row r="114" spans="1:8" x14ac:dyDescent="0.3">
      <c r="A114">
        <v>33</v>
      </c>
      <c r="B114">
        <v>3</v>
      </c>
      <c r="C114" t="s">
        <v>4</v>
      </c>
      <c r="D114">
        <v>4.75</v>
      </c>
      <c r="E114">
        <v>82</v>
      </c>
      <c r="F114">
        <v>4.75</v>
      </c>
      <c r="G114">
        <v>0</v>
      </c>
      <c r="H114">
        <f t="shared" si="4"/>
        <v>1</v>
      </c>
    </row>
    <row r="115" spans="1:8" x14ac:dyDescent="0.3">
      <c r="A115">
        <v>34</v>
      </c>
      <c r="B115">
        <v>3</v>
      </c>
      <c r="C115" t="s">
        <v>4</v>
      </c>
      <c r="D115">
        <v>4.3600000000000003</v>
      </c>
      <c r="E115">
        <v>93.3</v>
      </c>
      <c r="F115">
        <v>4.3600000000000003</v>
      </c>
      <c r="G115">
        <v>0</v>
      </c>
      <c r="H115">
        <f t="shared" si="4"/>
        <v>1</v>
      </c>
    </row>
    <row r="116" spans="1:8" x14ac:dyDescent="0.3">
      <c r="A116">
        <v>39</v>
      </c>
      <c r="B116">
        <v>3</v>
      </c>
      <c r="C116" t="s">
        <v>4</v>
      </c>
      <c r="D116">
        <v>4.68</v>
      </c>
      <c r="E116">
        <v>78</v>
      </c>
      <c r="F116">
        <v>4.68</v>
      </c>
      <c r="G116">
        <v>0</v>
      </c>
      <c r="H116">
        <f t="shared" si="4"/>
        <v>1</v>
      </c>
    </row>
    <row r="117" spans="1:8" x14ac:dyDescent="0.3">
      <c r="A117">
        <v>40</v>
      </c>
      <c r="B117">
        <v>3</v>
      </c>
      <c r="C117" t="s">
        <v>4</v>
      </c>
      <c r="D117">
        <v>4.82</v>
      </c>
      <c r="E117">
        <v>78.8</v>
      </c>
      <c r="F117">
        <v>4.82</v>
      </c>
      <c r="G117">
        <v>0</v>
      </c>
      <c r="H117">
        <f t="shared" si="4"/>
        <v>1</v>
      </c>
    </row>
    <row r="118" spans="1:8" x14ac:dyDescent="0.3">
      <c r="A118">
        <v>48</v>
      </c>
      <c r="B118">
        <v>3</v>
      </c>
      <c r="C118" t="s">
        <v>4</v>
      </c>
      <c r="D118">
        <v>4.34</v>
      </c>
      <c r="E118">
        <v>78.099999999999994</v>
      </c>
      <c r="F118">
        <v>4.34</v>
      </c>
      <c r="G118">
        <v>0</v>
      </c>
      <c r="H118">
        <f t="shared" si="4"/>
        <v>1</v>
      </c>
    </row>
    <row r="119" spans="1:8" x14ac:dyDescent="0.3">
      <c r="A119">
        <v>50</v>
      </c>
      <c r="B119">
        <v>3</v>
      </c>
      <c r="C119" t="s">
        <v>4</v>
      </c>
      <c r="D119">
        <v>5.0199999999999996</v>
      </c>
      <c r="E119">
        <v>82.9</v>
      </c>
      <c r="F119">
        <v>5.0199999999999996</v>
      </c>
      <c r="G119">
        <v>0</v>
      </c>
      <c r="H119">
        <f t="shared" si="4"/>
        <v>1</v>
      </c>
    </row>
    <row r="120" spans="1:8" x14ac:dyDescent="0.3">
      <c r="A120">
        <v>1</v>
      </c>
      <c r="B120">
        <v>3</v>
      </c>
      <c r="C120" t="s">
        <v>6</v>
      </c>
      <c r="D120">
        <v>3.42</v>
      </c>
      <c r="E120">
        <v>76.400000000000006</v>
      </c>
      <c r="F120">
        <v>3.42</v>
      </c>
      <c r="G120">
        <v>0</v>
      </c>
      <c r="H120">
        <f t="shared" si="4"/>
        <v>1</v>
      </c>
    </row>
    <row r="121" spans="1:8" x14ac:dyDescent="0.3">
      <c r="A121">
        <v>11</v>
      </c>
      <c r="B121">
        <v>3</v>
      </c>
      <c r="C121" t="s">
        <v>6</v>
      </c>
      <c r="D121">
        <v>3.39</v>
      </c>
      <c r="E121">
        <v>86</v>
      </c>
      <c r="F121">
        <v>3.39</v>
      </c>
      <c r="G121">
        <v>0</v>
      </c>
      <c r="H121">
        <f t="shared" si="4"/>
        <v>1</v>
      </c>
    </row>
    <row r="122" spans="1:8" x14ac:dyDescent="0.3">
      <c r="A122">
        <v>20</v>
      </c>
      <c r="B122">
        <v>3</v>
      </c>
      <c r="C122" t="s">
        <v>6</v>
      </c>
      <c r="D122">
        <v>2.92</v>
      </c>
      <c r="E122">
        <v>96.9</v>
      </c>
      <c r="F122">
        <v>2.92</v>
      </c>
      <c r="G122">
        <v>0</v>
      </c>
      <c r="H122">
        <f t="shared" si="4"/>
        <v>1</v>
      </c>
    </row>
    <row r="123" spans="1:8" x14ac:dyDescent="0.3">
      <c r="A123">
        <v>23</v>
      </c>
      <c r="B123">
        <v>3</v>
      </c>
      <c r="C123" t="s">
        <v>6</v>
      </c>
      <c r="D123">
        <v>4.0999999999999996</v>
      </c>
      <c r="E123">
        <v>92.2</v>
      </c>
      <c r="F123">
        <v>4.0999999999999996</v>
      </c>
      <c r="G123">
        <v>0</v>
      </c>
      <c r="H123">
        <f t="shared" si="4"/>
        <v>1</v>
      </c>
    </row>
    <row r="124" spans="1:8" x14ac:dyDescent="0.3">
      <c r="A124">
        <v>27</v>
      </c>
      <c r="B124">
        <v>3</v>
      </c>
      <c r="C124" t="s">
        <v>6</v>
      </c>
      <c r="D124">
        <v>2.37</v>
      </c>
      <c r="E124">
        <v>83.7</v>
      </c>
      <c r="F124">
        <v>2.37</v>
      </c>
      <c r="G124">
        <v>0</v>
      </c>
      <c r="H124">
        <f t="shared" si="4"/>
        <v>1</v>
      </c>
    </row>
    <row r="125" spans="1:8" x14ac:dyDescent="0.3">
      <c r="A125">
        <v>33</v>
      </c>
      <c r="B125">
        <v>3</v>
      </c>
      <c r="C125" t="s">
        <v>6</v>
      </c>
      <c r="D125">
        <v>3.31</v>
      </c>
      <c r="E125">
        <v>86.4</v>
      </c>
      <c r="F125">
        <v>3.31</v>
      </c>
      <c r="G125">
        <v>0</v>
      </c>
      <c r="H125">
        <f t="shared" si="4"/>
        <v>1</v>
      </c>
    </row>
    <row r="126" spans="1:8" x14ac:dyDescent="0.3">
      <c r="A126">
        <v>34</v>
      </c>
      <c r="B126">
        <v>3</v>
      </c>
      <c r="C126" t="s">
        <v>6</v>
      </c>
      <c r="D126">
        <v>3.73</v>
      </c>
      <c r="E126">
        <v>87.2</v>
      </c>
      <c r="F126">
        <v>3.73</v>
      </c>
      <c r="G126">
        <v>0</v>
      </c>
      <c r="H126">
        <f t="shared" si="4"/>
        <v>1</v>
      </c>
    </row>
    <row r="127" spans="1:8" x14ac:dyDescent="0.3">
      <c r="A127">
        <v>39</v>
      </c>
      <c r="B127">
        <v>3</v>
      </c>
      <c r="C127" t="s">
        <v>6</v>
      </c>
      <c r="D127">
        <v>4.9000000000000004</v>
      </c>
      <c r="E127">
        <v>82.1</v>
      </c>
      <c r="F127">
        <v>4.9000000000000004</v>
      </c>
      <c r="G127">
        <v>1</v>
      </c>
      <c r="H127">
        <f t="shared" si="4"/>
        <v>1</v>
      </c>
    </row>
    <row r="128" spans="1:8" x14ac:dyDescent="0.3">
      <c r="A128">
        <v>40</v>
      </c>
      <c r="B128">
        <v>3</v>
      </c>
      <c r="C128" t="s">
        <v>6</v>
      </c>
      <c r="D128">
        <v>3.42</v>
      </c>
      <c r="E128">
        <v>82.5</v>
      </c>
      <c r="F128">
        <v>3.42</v>
      </c>
      <c r="G128">
        <v>0</v>
      </c>
      <c r="H128">
        <f t="shared" si="4"/>
        <v>1</v>
      </c>
    </row>
    <row r="129" spans="1:8" x14ac:dyDescent="0.3">
      <c r="A129">
        <v>48</v>
      </c>
      <c r="B129">
        <v>3</v>
      </c>
      <c r="C129" t="s">
        <v>6</v>
      </c>
      <c r="D129">
        <v>1.96</v>
      </c>
      <c r="E129">
        <v>94.6</v>
      </c>
      <c r="F129">
        <v>1.96</v>
      </c>
      <c r="G129">
        <v>0</v>
      </c>
      <c r="H129">
        <f t="shared" si="4"/>
        <v>1</v>
      </c>
    </row>
    <row r="130" spans="1:8" x14ac:dyDescent="0.3">
      <c r="A130">
        <v>50</v>
      </c>
      <c r="B130">
        <v>3</v>
      </c>
      <c r="C130" t="s">
        <v>6</v>
      </c>
      <c r="D130">
        <v>4.51</v>
      </c>
      <c r="E130">
        <v>82.7</v>
      </c>
      <c r="F130">
        <v>4.51</v>
      </c>
      <c r="G130">
        <v>0</v>
      </c>
      <c r="H130">
        <f t="shared" si="4"/>
        <v>1</v>
      </c>
    </row>
    <row r="131" spans="1:8" x14ac:dyDescent="0.3">
      <c r="A131">
        <v>1</v>
      </c>
      <c r="B131">
        <v>3</v>
      </c>
      <c r="C131" t="s">
        <v>5</v>
      </c>
      <c r="D131">
        <v>4.25</v>
      </c>
      <c r="E131">
        <v>83.5</v>
      </c>
      <c r="F131">
        <v>4.25</v>
      </c>
      <c r="G131">
        <v>0</v>
      </c>
      <c r="H131">
        <f t="shared" ref="H131:H194" si="5">COUNTIFS($D$2:$D$221,D131,$E$2:$E$221,E131)</f>
        <v>1</v>
      </c>
    </row>
    <row r="132" spans="1:8" x14ac:dyDescent="0.3">
      <c r="A132">
        <v>11</v>
      </c>
      <c r="B132">
        <v>3</v>
      </c>
      <c r="C132" t="s">
        <v>5</v>
      </c>
      <c r="D132">
        <v>4.49</v>
      </c>
      <c r="E132">
        <v>94.2</v>
      </c>
      <c r="F132">
        <v>4.49</v>
      </c>
      <c r="G132">
        <v>0</v>
      </c>
      <c r="H132">
        <f t="shared" si="5"/>
        <v>1</v>
      </c>
    </row>
    <row r="133" spans="1:8" x14ac:dyDescent="0.3">
      <c r="A133">
        <v>20</v>
      </c>
      <c r="B133">
        <v>3</v>
      </c>
      <c r="C133" t="s">
        <v>5</v>
      </c>
      <c r="D133">
        <v>5.17</v>
      </c>
      <c r="E133">
        <v>80.7</v>
      </c>
      <c r="F133">
        <v>5.17</v>
      </c>
      <c r="G133">
        <v>0</v>
      </c>
      <c r="H133">
        <f t="shared" si="5"/>
        <v>1</v>
      </c>
    </row>
    <row r="134" spans="1:8" x14ac:dyDescent="0.3">
      <c r="A134">
        <v>23</v>
      </c>
      <c r="B134">
        <v>3</v>
      </c>
      <c r="C134" t="s">
        <v>5</v>
      </c>
      <c r="D134">
        <v>4.74</v>
      </c>
      <c r="E134">
        <v>100</v>
      </c>
      <c r="F134">
        <v>4.74</v>
      </c>
      <c r="G134">
        <v>1</v>
      </c>
      <c r="H134">
        <f t="shared" si="5"/>
        <v>1</v>
      </c>
    </row>
    <row r="135" spans="1:8" x14ac:dyDescent="0.3">
      <c r="A135">
        <v>27</v>
      </c>
      <c r="B135">
        <v>3</v>
      </c>
      <c r="C135" t="s">
        <v>5</v>
      </c>
      <c r="D135">
        <v>3.97</v>
      </c>
      <c r="E135">
        <v>86.9</v>
      </c>
      <c r="F135">
        <v>3.97</v>
      </c>
      <c r="G135">
        <v>0</v>
      </c>
      <c r="H135">
        <f t="shared" si="5"/>
        <v>1</v>
      </c>
    </row>
    <row r="136" spans="1:8" x14ac:dyDescent="0.3">
      <c r="A136">
        <v>33</v>
      </c>
      <c r="B136">
        <v>3</v>
      </c>
      <c r="C136" t="s">
        <v>5</v>
      </c>
      <c r="D136">
        <v>5.13</v>
      </c>
      <c r="E136">
        <v>89</v>
      </c>
      <c r="F136">
        <v>5.13</v>
      </c>
      <c r="G136">
        <v>0</v>
      </c>
      <c r="H136">
        <f t="shared" si="5"/>
        <v>1</v>
      </c>
    </row>
    <row r="137" spans="1:8" x14ac:dyDescent="0.3">
      <c r="A137">
        <v>34</v>
      </c>
      <c r="B137">
        <v>3</v>
      </c>
      <c r="C137" t="s">
        <v>5</v>
      </c>
      <c r="D137">
        <v>3.86</v>
      </c>
      <c r="E137">
        <v>90</v>
      </c>
      <c r="F137">
        <v>3.86</v>
      </c>
      <c r="G137">
        <v>0</v>
      </c>
      <c r="H137">
        <f t="shared" si="5"/>
        <v>1</v>
      </c>
    </row>
    <row r="138" spans="1:8" x14ac:dyDescent="0.3">
      <c r="A138">
        <v>39</v>
      </c>
      <c r="B138">
        <v>3</v>
      </c>
      <c r="C138" t="s">
        <v>5</v>
      </c>
      <c r="D138">
        <v>4.1399999999999997</v>
      </c>
      <c r="E138">
        <v>100</v>
      </c>
      <c r="F138">
        <v>4.1399999999999997</v>
      </c>
      <c r="G138">
        <v>0</v>
      </c>
      <c r="H138">
        <f t="shared" si="5"/>
        <v>1</v>
      </c>
    </row>
    <row r="139" spans="1:8" x14ac:dyDescent="0.3">
      <c r="A139">
        <v>40</v>
      </c>
      <c r="B139">
        <v>3</v>
      </c>
      <c r="C139" t="s">
        <v>5</v>
      </c>
      <c r="D139">
        <v>4.6500000000000004</v>
      </c>
      <c r="E139">
        <v>98.9</v>
      </c>
      <c r="F139">
        <v>4.6500000000000004</v>
      </c>
      <c r="G139">
        <v>0</v>
      </c>
      <c r="H139">
        <f t="shared" si="5"/>
        <v>1</v>
      </c>
    </row>
    <row r="140" spans="1:8" x14ac:dyDescent="0.3">
      <c r="A140">
        <v>48</v>
      </c>
      <c r="B140">
        <v>3</v>
      </c>
      <c r="C140" t="s">
        <v>5</v>
      </c>
      <c r="D140">
        <v>4.32</v>
      </c>
      <c r="E140">
        <v>97.1</v>
      </c>
      <c r="F140">
        <v>4.32</v>
      </c>
      <c r="G140">
        <v>0</v>
      </c>
      <c r="H140">
        <f t="shared" si="5"/>
        <v>1</v>
      </c>
    </row>
    <row r="141" spans="1:8" x14ac:dyDescent="0.3">
      <c r="A141">
        <v>50</v>
      </c>
      <c r="B141">
        <v>3</v>
      </c>
      <c r="C141" t="s">
        <v>5</v>
      </c>
      <c r="D141">
        <v>5.15</v>
      </c>
      <c r="E141">
        <v>89.3</v>
      </c>
      <c r="F141">
        <v>5.15</v>
      </c>
      <c r="G141">
        <v>0</v>
      </c>
      <c r="H141">
        <f t="shared" si="5"/>
        <v>1</v>
      </c>
    </row>
    <row r="142" spans="1:8" x14ac:dyDescent="0.3">
      <c r="A142">
        <v>2</v>
      </c>
      <c r="B142">
        <v>4</v>
      </c>
      <c r="C142" t="s">
        <v>2</v>
      </c>
      <c r="D142">
        <v>5.27</v>
      </c>
      <c r="E142">
        <v>72.8</v>
      </c>
      <c r="F142">
        <v>5.27</v>
      </c>
      <c r="G142">
        <v>1</v>
      </c>
      <c r="H142">
        <f t="shared" si="5"/>
        <v>1</v>
      </c>
    </row>
    <row r="143" spans="1:8" x14ac:dyDescent="0.3">
      <c r="A143">
        <v>4</v>
      </c>
      <c r="B143">
        <v>4</v>
      </c>
      <c r="C143" t="s">
        <v>2</v>
      </c>
      <c r="D143">
        <v>5.23</v>
      </c>
      <c r="E143">
        <v>98.3</v>
      </c>
      <c r="F143">
        <v>5.23</v>
      </c>
      <c r="G143">
        <v>0</v>
      </c>
      <c r="H143">
        <f t="shared" si="5"/>
        <v>1</v>
      </c>
    </row>
    <row r="144" spans="1:8" x14ac:dyDescent="0.3">
      <c r="A144">
        <v>5</v>
      </c>
      <c r="B144">
        <v>4</v>
      </c>
      <c r="C144" t="s">
        <v>2</v>
      </c>
      <c r="D144">
        <v>6.48</v>
      </c>
      <c r="E144">
        <v>87.6</v>
      </c>
      <c r="F144">
        <v>6.48</v>
      </c>
      <c r="G144">
        <v>0</v>
      </c>
      <c r="H144">
        <f t="shared" si="5"/>
        <v>1</v>
      </c>
    </row>
    <row r="145" spans="1:8" x14ac:dyDescent="0.3">
      <c r="A145">
        <v>10</v>
      </c>
      <c r="B145">
        <v>4</v>
      </c>
      <c r="C145" t="s">
        <v>2</v>
      </c>
      <c r="D145">
        <v>6.42</v>
      </c>
      <c r="E145">
        <v>96.2</v>
      </c>
      <c r="F145">
        <v>6.42</v>
      </c>
      <c r="G145">
        <v>0</v>
      </c>
      <c r="H145">
        <f t="shared" si="5"/>
        <v>1</v>
      </c>
    </row>
    <row r="146" spans="1:8" x14ac:dyDescent="0.3">
      <c r="A146">
        <v>14</v>
      </c>
      <c r="B146">
        <v>4</v>
      </c>
      <c r="C146" t="s">
        <v>2</v>
      </c>
      <c r="D146">
        <v>5.74</v>
      </c>
      <c r="E146">
        <v>71.8</v>
      </c>
      <c r="F146">
        <v>5.74</v>
      </c>
      <c r="G146">
        <v>0</v>
      </c>
      <c r="H146">
        <f t="shared" si="5"/>
        <v>1</v>
      </c>
    </row>
    <row r="147" spans="1:8" x14ac:dyDescent="0.3">
      <c r="A147">
        <v>17</v>
      </c>
      <c r="B147">
        <v>4</v>
      </c>
      <c r="C147" t="s">
        <v>2</v>
      </c>
      <c r="D147">
        <v>5.68</v>
      </c>
      <c r="E147">
        <v>98.3</v>
      </c>
      <c r="F147">
        <v>5.68</v>
      </c>
      <c r="G147">
        <v>0</v>
      </c>
      <c r="H147">
        <f t="shared" si="5"/>
        <v>1</v>
      </c>
    </row>
    <row r="148" spans="1:8" x14ac:dyDescent="0.3">
      <c r="A148">
        <v>21</v>
      </c>
      <c r="B148">
        <v>4</v>
      </c>
      <c r="C148" t="s">
        <v>2</v>
      </c>
      <c r="D148">
        <v>4.87</v>
      </c>
      <c r="E148">
        <v>87.8</v>
      </c>
      <c r="F148">
        <v>4.87</v>
      </c>
      <c r="G148">
        <v>0</v>
      </c>
      <c r="H148">
        <f t="shared" si="5"/>
        <v>1</v>
      </c>
    </row>
    <row r="149" spans="1:8" x14ac:dyDescent="0.3">
      <c r="A149">
        <v>26</v>
      </c>
      <c r="B149">
        <v>4</v>
      </c>
      <c r="C149" t="s">
        <v>2</v>
      </c>
      <c r="D149">
        <v>5.87</v>
      </c>
      <c r="E149">
        <v>82.1</v>
      </c>
      <c r="F149">
        <v>5.87</v>
      </c>
      <c r="G149">
        <v>0</v>
      </c>
      <c r="H149">
        <f t="shared" si="5"/>
        <v>1</v>
      </c>
    </row>
    <row r="150" spans="1:8" x14ac:dyDescent="0.3">
      <c r="A150">
        <v>43</v>
      </c>
      <c r="B150">
        <v>4</v>
      </c>
      <c r="C150" t="s">
        <v>2</v>
      </c>
      <c r="D150">
        <v>7.4</v>
      </c>
      <c r="E150">
        <v>88.4</v>
      </c>
      <c r="F150">
        <v>7.4</v>
      </c>
      <c r="G150">
        <v>0</v>
      </c>
      <c r="H150">
        <f t="shared" si="5"/>
        <v>1</v>
      </c>
    </row>
    <row r="151" spans="1:8" x14ac:dyDescent="0.3">
      <c r="A151">
        <v>45</v>
      </c>
      <c r="B151">
        <v>4</v>
      </c>
      <c r="C151" t="s">
        <v>2</v>
      </c>
      <c r="D151">
        <v>6.47</v>
      </c>
      <c r="E151">
        <v>84.7</v>
      </c>
      <c r="F151">
        <v>6.47</v>
      </c>
      <c r="G151">
        <v>0</v>
      </c>
      <c r="H151">
        <f t="shared" si="5"/>
        <v>1</v>
      </c>
    </row>
    <row r="152" spans="1:8" x14ac:dyDescent="0.3">
      <c r="A152">
        <v>2</v>
      </c>
      <c r="B152">
        <v>4</v>
      </c>
      <c r="C152" t="s">
        <v>3</v>
      </c>
      <c r="D152">
        <v>6.51</v>
      </c>
      <c r="E152">
        <v>88.6</v>
      </c>
      <c r="F152">
        <v>6.51</v>
      </c>
      <c r="G152">
        <v>0</v>
      </c>
      <c r="H152">
        <f t="shared" si="5"/>
        <v>1</v>
      </c>
    </row>
    <row r="153" spans="1:8" x14ac:dyDescent="0.3">
      <c r="A153">
        <v>4</v>
      </c>
      <c r="B153">
        <v>4</v>
      </c>
      <c r="C153" t="s">
        <v>3</v>
      </c>
      <c r="D153">
        <v>6.18</v>
      </c>
      <c r="E153">
        <v>84.6</v>
      </c>
      <c r="F153">
        <v>6.18</v>
      </c>
      <c r="G153">
        <v>0</v>
      </c>
      <c r="H153">
        <f t="shared" si="5"/>
        <v>1</v>
      </c>
    </row>
    <row r="154" spans="1:8" x14ac:dyDescent="0.3">
      <c r="A154">
        <v>5</v>
      </c>
      <c r="B154">
        <v>4</v>
      </c>
      <c r="C154" t="s">
        <v>3</v>
      </c>
      <c r="D154">
        <v>6.05</v>
      </c>
      <c r="E154">
        <v>89.3</v>
      </c>
      <c r="F154">
        <v>6.05</v>
      </c>
      <c r="G154">
        <v>0</v>
      </c>
      <c r="H154">
        <f t="shared" si="5"/>
        <v>1</v>
      </c>
    </row>
    <row r="155" spans="1:8" x14ac:dyDescent="0.3">
      <c r="A155">
        <v>10</v>
      </c>
      <c r="B155">
        <v>4</v>
      </c>
      <c r="C155" t="s">
        <v>3</v>
      </c>
      <c r="D155">
        <v>6.04</v>
      </c>
      <c r="E155">
        <v>100</v>
      </c>
      <c r="F155">
        <v>6.04</v>
      </c>
      <c r="G155">
        <v>0</v>
      </c>
      <c r="H155">
        <f t="shared" si="5"/>
        <v>1</v>
      </c>
    </row>
    <row r="156" spans="1:8" x14ac:dyDescent="0.3">
      <c r="A156">
        <v>14</v>
      </c>
      <c r="B156">
        <v>4</v>
      </c>
      <c r="C156" t="s">
        <v>3</v>
      </c>
      <c r="D156">
        <v>6.63</v>
      </c>
      <c r="E156">
        <v>87.1</v>
      </c>
      <c r="F156">
        <v>6.63</v>
      </c>
      <c r="G156">
        <v>0</v>
      </c>
      <c r="H156">
        <f t="shared" si="5"/>
        <v>1</v>
      </c>
    </row>
    <row r="157" spans="1:8" x14ac:dyDescent="0.3">
      <c r="A157">
        <v>17</v>
      </c>
      <c r="B157">
        <v>4</v>
      </c>
      <c r="C157" t="s">
        <v>3</v>
      </c>
      <c r="D157">
        <v>5.35</v>
      </c>
      <c r="E157">
        <v>93.6</v>
      </c>
      <c r="F157">
        <v>5.35</v>
      </c>
      <c r="G157">
        <v>0</v>
      </c>
      <c r="H157">
        <f t="shared" si="5"/>
        <v>1</v>
      </c>
    </row>
    <row r="158" spans="1:8" x14ac:dyDescent="0.3">
      <c r="A158">
        <v>21</v>
      </c>
      <c r="B158">
        <v>4</v>
      </c>
      <c r="C158" t="s">
        <v>3</v>
      </c>
      <c r="D158">
        <v>5.69</v>
      </c>
      <c r="E158">
        <v>97.2</v>
      </c>
      <c r="F158">
        <v>5.69</v>
      </c>
      <c r="G158">
        <v>0</v>
      </c>
      <c r="H158">
        <f t="shared" si="5"/>
        <v>1</v>
      </c>
    </row>
    <row r="159" spans="1:8" x14ac:dyDescent="0.3">
      <c r="A159">
        <v>26</v>
      </c>
      <c r="B159">
        <v>4</v>
      </c>
      <c r="C159" t="s">
        <v>3</v>
      </c>
      <c r="D159">
        <v>5.63</v>
      </c>
      <c r="E159">
        <v>100</v>
      </c>
      <c r="F159">
        <v>5.63</v>
      </c>
      <c r="G159">
        <v>1</v>
      </c>
      <c r="H159">
        <f t="shared" si="5"/>
        <v>1</v>
      </c>
    </row>
    <row r="160" spans="1:8" x14ac:dyDescent="0.3">
      <c r="A160">
        <v>43</v>
      </c>
      <c r="B160">
        <v>4</v>
      </c>
      <c r="C160" t="s">
        <v>3</v>
      </c>
      <c r="D160">
        <v>5.57</v>
      </c>
      <c r="E160">
        <v>78.599999999999994</v>
      </c>
      <c r="F160">
        <v>5.57</v>
      </c>
      <c r="G160">
        <v>0</v>
      </c>
      <c r="H160">
        <f t="shared" si="5"/>
        <v>1</v>
      </c>
    </row>
    <row r="161" spans="1:8" x14ac:dyDescent="0.3">
      <c r="A161">
        <v>45</v>
      </c>
      <c r="B161">
        <v>4</v>
      </c>
      <c r="C161" t="s">
        <v>3</v>
      </c>
      <c r="D161">
        <v>4.9800000000000004</v>
      </c>
      <c r="E161">
        <v>97.2</v>
      </c>
      <c r="F161">
        <v>4.9800000000000004</v>
      </c>
      <c r="G161">
        <v>0</v>
      </c>
      <c r="H161">
        <f t="shared" si="5"/>
        <v>1</v>
      </c>
    </row>
    <row r="162" spans="1:8" x14ac:dyDescent="0.3">
      <c r="A162">
        <v>2</v>
      </c>
      <c r="B162">
        <v>4</v>
      </c>
      <c r="C162" t="s">
        <v>4</v>
      </c>
      <c r="D162">
        <v>5.0199999999999996</v>
      </c>
      <c r="E162">
        <v>90.4</v>
      </c>
      <c r="F162">
        <v>5.0199999999999996</v>
      </c>
      <c r="G162">
        <v>1</v>
      </c>
      <c r="H162">
        <f t="shared" si="5"/>
        <v>1</v>
      </c>
    </row>
    <row r="163" spans="1:8" x14ac:dyDescent="0.3">
      <c r="A163">
        <v>4</v>
      </c>
      <c r="B163">
        <v>4</v>
      </c>
      <c r="C163" t="s">
        <v>4</v>
      </c>
      <c r="D163">
        <v>4.9400000000000004</v>
      </c>
      <c r="E163">
        <v>89</v>
      </c>
      <c r="F163">
        <v>4.9400000000000004</v>
      </c>
      <c r="G163">
        <v>1</v>
      </c>
      <c r="H163">
        <f t="shared" si="5"/>
        <v>1</v>
      </c>
    </row>
    <row r="164" spans="1:8" x14ac:dyDescent="0.3">
      <c r="A164">
        <v>5</v>
      </c>
      <c r="B164">
        <v>4</v>
      </c>
      <c r="C164" t="s">
        <v>4</v>
      </c>
      <c r="D164">
        <v>5.13</v>
      </c>
      <c r="E164">
        <v>78.5</v>
      </c>
      <c r="F164">
        <v>5.13</v>
      </c>
      <c r="G164">
        <v>1</v>
      </c>
      <c r="H164">
        <f t="shared" si="5"/>
        <v>1</v>
      </c>
    </row>
    <row r="165" spans="1:8" x14ac:dyDescent="0.3">
      <c r="A165">
        <v>10</v>
      </c>
      <c r="B165">
        <v>4</v>
      </c>
      <c r="C165" t="s">
        <v>4</v>
      </c>
      <c r="D165">
        <v>5.08</v>
      </c>
      <c r="E165">
        <v>76.7</v>
      </c>
      <c r="F165">
        <v>5.08</v>
      </c>
      <c r="G165">
        <v>1</v>
      </c>
      <c r="H165">
        <f t="shared" si="5"/>
        <v>1</v>
      </c>
    </row>
    <row r="166" spans="1:8" x14ac:dyDescent="0.3">
      <c r="A166">
        <v>14</v>
      </c>
      <c r="B166">
        <v>4</v>
      </c>
      <c r="C166" t="s">
        <v>4</v>
      </c>
      <c r="D166">
        <v>4.17</v>
      </c>
      <c r="E166">
        <v>80.8</v>
      </c>
      <c r="F166">
        <v>4.17</v>
      </c>
      <c r="G166">
        <v>1</v>
      </c>
      <c r="H166">
        <f t="shared" si="5"/>
        <v>1</v>
      </c>
    </row>
    <row r="167" spans="1:8" x14ac:dyDescent="0.3">
      <c r="A167">
        <v>17</v>
      </c>
      <c r="B167">
        <v>4</v>
      </c>
      <c r="C167" t="s">
        <v>4</v>
      </c>
      <c r="D167">
        <v>4.34</v>
      </c>
      <c r="E167">
        <v>80.400000000000006</v>
      </c>
      <c r="F167">
        <v>4.34</v>
      </c>
      <c r="G167">
        <v>1</v>
      </c>
      <c r="H167">
        <f t="shared" si="5"/>
        <v>1</v>
      </c>
    </row>
    <row r="168" spans="1:8" x14ac:dyDescent="0.3">
      <c r="A168">
        <v>21</v>
      </c>
      <c r="B168">
        <v>4</v>
      </c>
      <c r="C168" t="s">
        <v>4</v>
      </c>
      <c r="D168">
        <v>4.9400000000000004</v>
      </c>
      <c r="E168">
        <v>89.7</v>
      </c>
      <c r="F168">
        <v>4.9400000000000004</v>
      </c>
      <c r="G168">
        <v>0</v>
      </c>
      <c r="H168">
        <f t="shared" si="5"/>
        <v>1</v>
      </c>
    </row>
    <row r="169" spans="1:8" x14ac:dyDescent="0.3">
      <c r="A169">
        <v>26</v>
      </c>
      <c r="B169">
        <v>4</v>
      </c>
      <c r="C169" t="s">
        <v>4</v>
      </c>
      <c r="D169">
        <v>5.42</v>
      </c>
      <c r="E169">
        <v>75.599999999999994</v>
      </c>
      <c r="F169">
        <v>5.42</v>
      </c>
      <c r="G169">
        <v>0</v>
      </c>
      <c r="H169">
        <f t="shared" si="5"/>
        <v>1</v>
      </c>
    </row>
    <row r="170" spans="1:8" x14ac:dyDescent="0.3">
      <c r="A170">
        <v>43</v>
      </c>
      <c r="B170">
        <v>4</v>
      </c>
      <c r="C170" t="s">
        <v>4</v>
      </c>
      <c r="D170">
        <v>4.91</v>
      </c>
      <c r="E170">
        <v>87.2</v>
      </c>
      <c r="F170">
        <v>4.91</v>
      </c>
      <c r="G170">
        <v>0</v>
      </c>
      <c r="H170">
        <f t="shared" si="5"/>
        <v>1</v>
      </c>
    </row>
    <row r="171" spans="1:8" x14ac:dyDescent="0.3">
      <c r="A171">
        <v>45</v>
      </c>
      <c r="B171">
        <v>4</v>
      </c>
      <c r="C171" t="s">
        <v>4</v>
      </c>
      <c r="D171">
        <v>5.46</v>
      </c>
      <c r="E171">
        <v>82.2</v>
      </c>
      <c r="F171">
        <v>5.46</v>
      </c>
      <c r="G171">
        <v>0</v>
      </c>
      <c r="H171">
        <f t="shared" si="5"/>
        <v>1</v>
      </c>
    </row>
    <row r="172" spans="1:8" x14ac:dyDescent="0.3">
      <c r="A172">
        <v>2</v>
      </c>
      <c r="B172">
        <v>4</v>
      </c>
      <c r="C172" t="s">
        <v>6</v>
      </c>
      <c r="D172">
        <v>4.54</v>
      </c>
      <c r="E172">
        <v>92.7</v>
      </c>
      <c r="F172">
        <v>4.54</v>
      </c>
      <c r="G172">
        <v>0</v>
      </c>
      <c r="H172">
        <f t="shared" si="5"/>
        <v>1</v>
      </c>
    </row>
    <row r="173" spans="1:8" x14ac:dyDescent="0.3">
      <c r="A173">
        <v>4</v>
      </c>
      <c r="B173">
        <v>4</v>
      </c>
      <c r="C173" t="s">
        <v>6</v>
      </c>
      <c r="D173">
        <v>3.43</v>
      </c>
      <c r="E173">
        <v>90.9</v>
      </c>
      <c r="F173">
        <v>3.43</v>
      </c>
      <c r="G173">
        <v>0</v>
      </c>
      <c r="H173">
        <f t="shared" si="5"/>
        <v>1</v>
      </c>
    </row>
    <row r="174" spans="1:8" x14ac:dyDescent="0.3">
      <c r="A174">
        <v>5</v>
      </c>
      <c r="B174">
        <v>4</v>
      </c>
      <c r="C174" t="s">
        <v>6</v>
      </c>
      <c r="D174">
        <v>4.91</v>
      </c>
      <c r="E174">
        <v>81.7</v>
      </c>
      <c r="F174">
        <v>4.91</v>
      </c>
      <c r="G174">
        <v>0</v>
      </c>
      <c r="H174">
        <f t="shared" si="5"/>
        <v>1</v>
      </c>
    </row>
    <row r="175" spans="1:8" x14ac:dyDescent="0.3">
      <c r="A175">
        <v>10</v>
      </c>
      <c r="B175">
        <v>4</v>
      </c>
      <c r="C175" t="s">
        <v>6</v>
      </c>
      <c r="D175">
        <v>3.52</v>
      </c>
      <c r="E175">
        <v>87.8</v>
      </c>
      <c r="F175">
        <v>3.52</v>
      </c>
      <c r="G175">
        <v>0</v>
      </c>
      <c r="H175">
        <f t="shared" si="5"/>
        <v>1</v>
      </c>
    </row>
    <row r="176" spans="1:8" x14ac:dyDescent="0.3">
      <c r="A176">
        <v>14</v>
      </c>
      <c r="B176">
        <v>4</v>
      </c>
      <c r="C176" t="s">
        <v>6</v>
      </c>
      <c r="D176">
        <v>2.85</v>
      </c>
      <c r="E176">
        <v>87.3</v>
      </c>
      <c r="F176">
        <v>2.85</v>
      </c>
      <c r="G176">
        <v>0</v>
      </c>
      <c r="H176">
        <f t="shared" si="5"/>
        <v>1</v>
      </c>
    </row>
    <row r="177" spans="1:8" x14ac:dyDescent="0.3">
      <c r="A177">
        <v>17</v>
      </c>
      <c r="B177">
        <v>4</v>
      </c>
      <c r="C177" t="s">
        <v>6</v>
      </c>
      <c r="D177">
        <v>3.63</v>
      </c>
      <c r="E177">
        <v>88.5</v>
      </c>
      <c r="F177">
        <v>3.63</v>
      </c>
      <c r="G177">
        <v>0</v>
      </c>
      <c r="H177">
        <f t="shared" si="5"/>
        <v>1</v>
      </c>
    </row>
    <row r="178" spans="1:8" x14ac:dyDescent="0.3">
      <c r="A178">
        <v>21</v>
      </c>
      <c r="B178">
        <v>4</v>
      </c>
      <c r="C178" t="s">
        <v>6</v>
      </c>
      <c r="D178">
        <v>4.51</v>
      </c>
      <c r="E178">
        <v>87.7</v>
      </c>
      <c r="F178">
        <v>4.51</v>
      </c>
      <c r="G178">
        <v>0</v>
      </c>
      <c r="H178">
        <f t="shared" si="5"/>
        <v>1</v>
      </c>
    </row>
    <row r="179" spans="1:8" x14ac:dyDescent="0.3">
      <c r="A179">
        <v>26</v>
      </c>
      <c r="B179">
        <v>4</v>
      </c>
      <c r="C179" t="s">
        <v>6</v>
      </c>
      <c r="D179">
        <v>3.76</v>
      </c>
      <c r="E179">
        <v>88.7</v>
      </c>
      <c r="F179">
        <v>3.76</v>
      </c>
      <c r="G179">
        <v>0</v>
      </c>
      <c r="H179">
        <f t="shared" si="5"/>
        <v>1</v>
      </c>
    </row>
    <row r="180" spans="1:8" x14ac:dyDescent="0.3">
      <c r="A180">
        <v>43</v>
      </c>
      <c r="B180">
        <v>4</v>
      </c>
      <c r="C180" t="s">
        <v>6</v>
      </c>
      <c r="D180">
        <v>4.46</v>
      </c>
      <c r="E180">
        <v>91.2</v>
      </c>
      <c r="F180">
        <v>4.46</v>
      </c>
      <c r="G180">
        <v>0</v>
      </c>
      <c r="H180">
        <f t="shared" si="5"/>
        <v>1</v>
      </c>
    </row>
    <row r="181" spans="1:8" x14ac:dyDescent="0.3">
      <c r="A181">
        <v>45</v>
      </c>
      <c r="B181">
        <v>4</v>
      </c>
      <c r="C181" t="s">
        <v>6</v>
      </c>
      <c r="D181">
        <v>1.97</v>
      </c>
      <c r="E181">
        <v>81.099999999999994</v>
      </c>
      <c r="F181">
        <v>1.97</v>
      </c>
      <c r="G181">
        <v>1</v>
      </c>
      <c r="H181">
        <f t="shared" si="5"/>
        <v>1</v>
      </c>
    </row>
    <row r="182" spans="1:8" x14ac:dyDescent="0.3">
      <c r="A182">
        <v>2</v>
      </c>
      <c r="B182">
        <v>4</v>
      </c>
      <c r="C182" t="s">
        <v>5</v>
      </c>
      <c r="D182">
        <v>6.09</v>
      </c>
      <c r="E182">
        <v>100</v>
      </c>
      <c r="F182">
        <v>6.09</v>
      </c>
      <c r="G182">
        <v>0</v>
      </c>
      <c r="H182">
        <f t="shared" si="5"/>
        <v>1</v>
      </c>
    </row>
    <row r="183" spans="1:8" x14ac:dyDescent="0.3">
      <c r="A183">
        <v>4</v>
      </c>
      <c r="B183">
        <v>4</v>
      </c>
      <c r="C183" t="s">
        <v>5</v>
      </c>
      <c r="D183">
        <v>5.57</v>
      </c>
      <c r="E183">
        <v>92.5</v>
      </c>
      <c r="F183">
        <v>5.57</v>
      </c>
      <c r="G183">
        <v>0</v>
      </c>
      <c r="H183">
        <f t="shared" si="5"/>
        <v>1</v>
      </c>
    </row>
    <row r="184" spans="1:8" x14ac:dyDescent="0.3">
      <c r="A184">
        <v>5</v>
      </c>
      <c r="B184">
        <v>4</v>
      </c>
      <c r="C184" t="s">
        <v>5</v>
      </c>
      <c r="D184">
        <v>5.59</v>
      </c>
      <c r="E184">
        <v>100</v>
      </c>
      <c r="F184">
        <v>5.59</v>
      </c>
      <c r="G184">
        <v>0</v>
      </c>
      <c r="H184">
        <f t="shared" si="5"/>
        <v>1</v>
      </c>
    </row>
    <row r="185" spans="1:8" x14ac:dyDescent="0.3">
      <c r="A185">
        <v>10</v>
      </c>
      <c r="B185">
        <v>4</v>
      </c>
      <c r="C185" t="s">
        <v>5</v>
      </c>
      <c r="D185">
        <v>5.4</v>
      </c>
      <c r="E185">
        <v>100</v>
      </c>
      <c r="F185">
        <v>5.4</v>
      </c>
      <c r="G185">
        <v>0</v>
      </c>
      <c r="H185">
        <f t="shared" si="5"/>
        <v>1</v>
      </c>
    </row>
    <row r="186" spans="1:8" x14ac:dyDescent="0.3">
      <c r="A186">
        <v>14</v>
      </c>
      <c r="B186">
        <v>4</v>
      </c>
      <c r="C186" t="s">
        <v>5</v>
      </c>
      <c r="D186">
        <v>4.66</v>
      </c>
      <c r="E186">
        <v>100</v>
      </c>
      <c r="F186">
        <v>4.66</v>
      </c>
      <c r="G186">
        <v>0</v>
      </c>
      <c r="H186">
        <f t="shared" si="5"/>
        <v>1</v>
      </c>
    </row>
    <row r="187" spans="1:8" x14ac:dyDescent="0.3">
      <c r="A187">
        <v>17</v>
      </c>
      <c r="B187">
        <v>4</v>
      </c>
      <c r="C187" t="s">
        <v>5</v>
      </c>
      <c r="D187">
        <v>4.51</v>
      </c>
      <c r="E187">
        <v>100</v>
      </c>
      <c r="F187">
        <v>4.51</v>
      </c>
      <c r="G187">
        <v>0</v>
      </c>
      <c r="H187">
        <f t="shared" si="5"/>
        <v>1</v>
      </c>
    </row>
    <row r="188" spans="1:8" x14ac:dyDescent="0.3">
      <c r="A188">
        <v>21</v>
      </c>
      <c r="B188">
        <v>4</v>
      </c>
      <c r="C188" t="s">
        <v>5</v>
      </c>
      <c r="D188">
        <v>3.98</v>
      </c>
      <c r="E188">
        <v>100</v>
      </c>
      <c r="F188">
        <v>3.98</v>
      </c>
      <c r="G188">
        <v>0</v>
      </c>
      <c r="H188">
        <f t="shared" si="5"/>
        <v>1</v>
      </c>
    </row>
    <row r="189" spans="1:8" x14ac:dyDescent="0.3">
      <c r="A189">
        <v>26</v>
      </c>
      <c r="B189">
        <v>4</v>
      </c>
      <c r="C189" t="s">
        <v>5</v>
      </c>
      <c r="D189">
        <v>4.46</v>
      </c>
      <c r="E189">
        <v>100</v>
      </c>
      <c r="F189">
        <v>4.46</v>
      </c>
      <c r="G189">
        <v>0</v>
      </c>
      <c r="H189">
        <f t="shared" si="5"/>
        <v>1</v>
      </c>
    </row>
    <row r="190" spans="1:8" x14ac:dyDescent="0.3">
      <c r="A190">
        <v>43</v>
      </c>
      <c r="B190">
        <v>4</v>
      </c>
      <c r="C190" t="s">
        <v>5</v>
      </c>
      <c r="D190">
        <v>6.03</v>
      </c>
      <c r="E190">
        <v>100</v>
      </c>
      <c r="F190">
        <v>6.04</v>
      </c>
      <c r="G190">
        <v>0</v>
      </c>
      <c r="H190">
        <f t="shared" si="5"/>
        <v>1</v>
      </c>
    </row>
    <row r="191" spans="1:8" x14ac:dyDescent="0.3">
      <c r="A191">
        <v>45</v>
      </c>
      <c r="B191">
        <v>4</v>
      </c>
      <c r="C191" t="s">
        <v>5</v>
      </c>
      <c r="D191">
        <v>5.25</v>
      </c>
      <c r="E191">
        <v>92.7</v>
      </c>
      <c r="F191">
        <v>5.25</v>
      </c>
      <c r="G191">
        <v>0</v>
      </c>
      <c r="H191">
        <f t="shared" si="5"/>
        <v>1</v>
      </c>
    </row>
    <row r="192" spans="1:8" x14ac:dyDescent="0.3">
      <c r="A192">
        <v>13</v>
      </c>
      <c r="B192">
        <v>5</v>
      </c>
      <c r="C192" t="s">
        <v>2</v>
      </c>
      <c r="D192">
        <v>6.74</v>
      </c>
      <c r="E192">
        <v>100</v>
      </c>
      <c r="F192">
        <v>6.74</v>
      </c>
      <c r="G192">
        <v>0</v>
      </c>
      <c r="H192">
        <f t="shared" si="5"/>
        <v>1</v>
      </c>
    </row>
    <row r="193" spans="1:8" x14ac:dyDescent="0.3">
      <c r="A193">
        <v>18</v>
      </c>
      <c r="B193">
        <v>5</v>
      </c>
      <c r="C193" t="s">
        <v>2</v>
      </c>
      <c r="D193">
        <v>7.65</v>
      </c>
      <c r="E193">
        <v>89.5</v>
      </c>
      <c r="F193">
        <v>7.65</v>
      </c>
      <c r="G193">
        <v>0</v>
      </c>
      <c r="H193">
        <f t="shared" si="5"/>
        <v>1</v>
      </c>
    </row>
    <row r="194" spans="1:8" x14ac:dyDescent="0.3">
      <c r="A194">
        <v>25</v>
      </c>
      <c r="B194">
        <v>5</v>
      </c>
      <c r="C194" t="s">
        <v>2</v>
      </c>
      <c r="D194">
        <v>5.97</v>
      </c>
      <c r="E194">
        <v>100</v>
      </c>
      <c r="F194">
        <v>5.97</v>
      </c>
      <c r="G194">
        <v>0</v>
      </c>
      <c r="H194">
        <f t="shared" si="5"/>
        <v>1</v>
      </c>
    </row>
    <row r="195" spans="1:8" x14ac:dyDescent="0.3">
      <c r="A195">
        <v>35</v>
      </c>
      <c r="B195">
        <v>5</v>
      </c>
      <c r="C195" t="s">
        <v>2</v>
      </c>
      <c r="D195">
        <v>6.53</v>
      </c>
      <c r="E195">
        <v>94.8</v>
      </c>
      <c r="F195">
        <v>6.53</v>
      </c>
      <c r="G195">
        <v>0</v>
      </c>
      <c r="H195">
        <f t="shared" ref="H195:H221" si="6">COUNTIFS($D$2:$D$221,D195,$E$2:$E$221,E195)</f>
        <v>1</v>
      </c>
    </row>
    <row r="196" spans="1:8" x14ac:dyDescent="0.3">
      <c r="A196">
        <v>36</v>
      </c>
      <c r="B196">
        <v>5</v>
      </c>
      <c r="C196" t="s">
        <v>2</v>
      </c>
      <c r="D196">
        <v>6.62</v>
      </c>
      <c r="E196">
        <v>84.1</v>
      </c>
      <c r="F196">
        <v>6.62</v>
      </c>
      <c r="G196">
        <v>0</v>
      </c>
      <c r="H196">
        <f t="shared" si="6"/>
        <v>1</v>
      </c>
    </row>
    <row r="197" spans="1:8" x14ac:dyDescent="0.3">
      <c r="A197">
        <v>37</v>
      </c>
      <c r="B197">
        <v>5</v>
      </c>
      <c r="C197" t="s">
        <v>2</v>
      </c>
      <c r="D197">
        <v>6.86</v>
      </c>
      <c r="E197">
        <v>85.1</v>
      </c>
      <c r="F197">
        <v>6.86</v>
      </c>
      <c r="G197">
        <v>0</v>
      </c>
      <c r="H197">
        <f t="shared" si="6"/>
        <v>1</v>
      </c>
    </row>
    <row r="198" spans="1:8" x14ac:dyDescent="0.3">
      <c r="A198">
        <v>13</v>
      </c>
      <c r="B198">
        <v>5</v>
      </c>
      <c r="C198" t="s">
        <v>3</v>
      </c>
      <c r="D198">
        <v>6.18</v>
      </c>
      <c r="E198">
        <v>100</v>
      </c>
      <c r="F198">
        <v>6.18</v>
      </c>
      <c r="G198">
        <v>0</v>
      </c>
      <c r="H198">
        <f t="shared" si="6"/>
        <v>1</v>
      </c>
    </row>
    <row r="199" spans="1:8" x14ac:dyDescent="0.3">
      <c r="A199">
        <v>18</v>
      </c>
      <c r="B199">
        <v>5</v>
      </c>
      <c r="C199" t="s">
        <v>3</v>
      </c>
      <c r="D199">
        <v>5.84</v>
      </c>
      <c r="E199">
        <v>100</v>
      </c>
      <c r="F199">
        <v>5.84</v>
      </c>
      <c r="G199">
        <v>0</v>
      </c>
      <c r="H199">
        <f t="shared" si="6"/>
        <v>1</v>
      </c>
    </row>
    <row r="200" spans="1:8" x14ac:dyDescent="0.3">
      <c r="A200">
        <v>25</v>
      </c>
      <c r="B200">
        <v>5</v>
      </c>
      <c r="C200" t="s">
        <v>3</v>
      </c>
      <c r="D200">
        <v>5.07</v>
      </c>
      <c r="E200">
        <v>95.7</v>
      </c>
      <c r="F200">
        <v>5.07</v>
      </c>
      <c r="G200">
        <v>0</v>
      </c>
      <c r="H200">
        <f t="shared" si="6"/>
        <v>1</v>
      </c>
    </row>
    <row r="201" spans="1:8" x14ac:dyDescent="0.3">
      <c r="A201">
        <v>35</v>
      </c>
      <c r="B201">
        <v>5</v>
      </c>
      <c r="C201" t="s">
        <v>3</v>
      </c>
      <c r="D201">
        <v>6.35</v>
      </c>
      <c r="E201">
        <v>100</v>
      </c>
      <c r="F201">
        <v>6.35</v>
      </c>
      <c r="G201">
        <v>0</v>
      </c>
      <c r="H201">
        <f t="shared" si="6"/>
        <v>1</v>
      </c>
    </row>
    <row r="202" spans="1:8" x14ac:dyDescent="0.3">
      <c r="A202">
        <v>36</v>
      </c>
      <c r="B202">
        <v>5</v>
      </c>
      <c r="C202" t="s">
        <v>3</v>
      </c>
      <c r="D202">
        <v>5.97</v>
      </c>
      <c r="E202">
        <v>86.9</v>
      </c>
      <c r="F202">
        <v>5.97</v>
      </c>
      <c r="G202">
        <v>0</v>
      </c>
      <c r="H202">
        <f t="shared" si="6"/>
        <v>1</v>
      </c>
    </row>
    <row r="203" spans="1:8" x14ac:dyDescent="0.3">
      <c r="A203">
        <v>37</v>
      </c>
      <c r="B203">
        <v>5</v>
      </c>
      <c r="C203" t="s">
        <v>3</v>
      </c>
      <c r="D203">
        <v>6.08</v>
      </c>
      <c r="E203">
        <v>100</v>
      </c>
      <c r="F203">
        <v>6.08</v>
      </c>
      <c r="G203">
        <v>0</v>
      </c>
      <c r="H203">
        <f t="shared" si="6"/>
        <v>1</v>
      </c>
    </row>
    <row r="204" spans="1:8" x14ac:dyDescent="0.3">
      <c r="A204">
        <v>13</v>
      </c>
      <c r="B204">
        <v>5</v>
      </c>
      <c r="C204" t="s">
        <v>4</v>
      </c>
      <c r="D204">
        <v>5.33</v>
      </c>
      <c r="E204">
        <v>81.8</v>
      </c>
      <c r="F204">
        <v>5.33</v>
      </c>
      <c r="G204">
        <v>1</v>
      </c>
      <c r="H204">
        <f t="shared" si="6"/>
        <v>1</v>
      </c>
    </row>
    <row r="205" spans="1:8" x14ac:dyDescent="0.3">
      <c r="A205">
        <v>18</v>
      </c>
      <c r="B205">
        <v>5</v>
      </c>
      <c r="C205" t="s">
        <v>4</v>
      </c>
      <c r="D205">
        <v>4.93</v>
      </c>
      <c r="E205">
        <v>90.5</v>
      </c>
      <c r="F205">
        <v>4.93</v>
      </c>
      <c r="G205">
        <v>0</v>
      </c>
      <c r="H205">
        <f t="shared" si="6"/>
        <v>1</v>
      </c>
    </row>
    <row r="206" spans="1:8" x14ac:dyDescent="0.3">
      <c r="A206">
        <v>25</v>
      </c>
      <c r="B206">
        <v>5</v>
      </c>
      <c r="C206" t="s">
        <v>4</v>
      </c>
      <c r="D206">
        <v>4.16</v>
      </c>
      <c r="E206">
        <v>100</v>
      </c>
      <c r="F206">
        <v>4.16</v>
      </c>
      <c r="G206">
        <v>0</v>
      </c>
      <c r="H206">
        <f t="shared" si="6"/>
        <v>1</v>
      </c>
    </row>
    <row r="207" spans="1:8" x14ac:dyDescent="0.3">
      <c r="A207">
        <v>35</v>
      </c>
      <c r="B207">
        <v>5</v>
      </c>
      <c r="C207" t="s">
        <v>4</v>
      </c>
      <c r="D207">
        <v>5.83</v>
      </c>
      <c r="E207">
        <v>97.7</v>
      </c>
      <c r="F207">
        <v>5.83</v>
      </c>
      <c r="G207">
        <v>0</v>
      </c>
      <c r="H207">
        <f t="shared" si="6"/>
        <v>1</v>
      </c>
    </row>
    <row r="208" spans="1:8" x14ac:dyDescent="0.3">
      <c r="A208">
        <v>36</v>
      </c>
      <c r="B208">
        <v>5</v>
      </c>
      <c r="C208" t="s">
        <v>4</v>
      </c>
      <c r="D208">
        <v>5.0599999999999996</v>
      </c>
      <c r="E208">
        <v>100</v>
      </c>
      <c r="F208">
        <v>5.0599999999999996</v>
      </c>
      <c r="G208">
        <v>0</v>
      </c>
      <c r="H208">
        <f t="shared" si="6"/>
        <v>1</v>
      </c>
    </row>
    <row r="209" spans="1:8" x14ac:dyDescent="0.3">
      <c r="A209">
        <v>37</v>
      </c>
      <c r="B209">
        <v>5</v>
      </c>
      <c r="C209" t="s">
        <v>4</v>
      </c>
      <c r="D209">
        <v>4.62</v>
      </c>
      <c r="E209">
        <v>88.8</v>
      </c>
      <c r="F209">
        <v>4.62</v>
      </c>
      <c r="G209">
        <v>0</v>
      </c>
      <c r="H209">
        <f t="shared" si="6"/>
        <v>1</v>
      </c>
    </row>
    <row r="210" spans="1:8" x14ac:dyDescent="0.3">
      <c r="A210">
        <v>13</v>
      </c>
      <c r="B210">
        <v>5</v>
      </c>
      <c r="C210" t="s">
        <v>6</v>
      </c>
      <c r="D210">
        <v>4.22</v>
      </c>
      <c r="E210">
        <v>91.4</v>
      </c>
      <c r="F210">
        <v>4.22</v>
      </c>
      <c r="G210">
        <v>0</v>
      </c>
      <c r="H210">
        <f t="shared" si="6"/>
        <v>1</v>
      </c>
    </row>
    <row r="211" spans="1:8" x14ac:dyDescent="0.3">
      <c r="A211">
        <v>18</v>
      </c>
      <c r="B211">
        <v>5</v>
      </c>
      <c r="C211" t="s">
        <v>6</v>
      </c>
      <c r="D211">
        <v>5.18</v>
      </c>
      <c r="E211">
        <v>98</v>
      </c>
      <c r="F211">
        <v>5.18</v>
      </c>
      <c r="G211">
        <v>0</v>
      </c>
      <c r="H211">
        <f t="shared" si="6"/>
        <v>1</v>
      </c>
    </row>
    <row r="212" spans="1:8" x14ac:dyDescent="0.3">
      <c r="A212">
        <v>25</v>
      </c>
      <c r="B212">
        <v>5</v>
      </c>
      <c r="C212" t="s">
        <v>6</v>
      </c>
      <c r="D212">
        <v>5.31</v>
      </c>
      <c r="E212">
        <v>90.3</v>
      </c>
      <c r="F212">
        <v>5.31</v>
      </c>
      <c r="G212">
        <v>0</v>
      </c>
      <c r="H212">
        <f t="shared" si="6"/>
        <v>1</v>
      </c>
    </row>
    <row r="213" spans="1:8" x14ac:dyDescent="0.3">
      <c r="A213">
        <v>35</v>
      </c>
      <c r="B213">
        <v>5</v>
      </c>
      <c r="C213" t="s">
        <v>6</v>
      </c>
      <c r="D213">
        <v>5.16</v>
      </c>
      <c r="E213">
        <v>92.6</v>
      </c>
      <c r="F213">
        <v>5.16</v>
      </c>
      <c r="G213">
        <v>0</v>
      </c>
      <c r="H213">
        <f t="shared" si="6"/>
        <v>1</v>
      </c>
    </row>
    <row r="214" spans="1:8" x14ac:dyDescent="0.3">
      <c r="A214">
        <v>36</v>
      </c>
      <c r="B214">
        <v>5</v>
      </c>
      <c r="C214" t="s">
        <v>6</v>
      </c>
      <c r="D214">
        <v>3.79</v>
      </c>
      <c r="E214">
        <v>87.3</v>
      </c>
      <c r="F214">
        <v>3.79</v>
      </c>
      <c r="G214">
        <v>1</v>
      </c>
      <c r="H214">
        <f t="shared" si="6"/>
        <v>1</v>
      </c>
    </row>
    <row r="215" spans="1:8" x14ac:dyDescent="0.3">
      <c r="A215">
        <v>37</v>
      </c>
      <c r="B215">
        <v>5</v>
      </c>
      <c r="C215" t="s">
        <v>6</v>
      </c>
      <c r="D215">
        <v>5.0599999999999996</v>
      </c>
      <c r="E215">
        <v>97.9</v>
      </c>
      <c r="F215">
        <v>5.0599999999999996</v>
      </c>
      <c r="G215">
        <v>0</v>
      </c>
      <c r="H215">
        <f t="shared" si="6"/>
        <v>1</v>
      </c>
    </row>
    <row r="216" spans="1:8" x14ac:dyDescent="0.3">
      <c r="A216">
        <v>13</v>
      </c>
      <c r="B216">
        <v>5</v>
      </c>
      <c r="C216" t="s">
        <v>5</v>
      </c>
      <c r="D216">
        <v>4.53</v>
      </c>
      <c r="E216">
        <v>100</v>
      </c>
      <c r="F216">
        <v>4.53</v>
      </c>
      <c r="G216">
        <v>0</v>
      </c>
      <c r="H216">
        <f t="shared" si="6"/>
        <v>1</v>
      </c>
    </row>
    <row r="217" spans="1:8" x14ac:dyDescent="0.3">
      <c r="A217">
        <v>18</v>
      </c>
      <c r="B217">
        <v>5</v>
      </c>
      <c r="C217" t="s">
        <v>5</v>
      </c>
      <c r="D217">
        <v>5.34</v>
      </c>
      <c r="E217">
        <v>100</v>
      </c>
      <c r="F217">
        <v>5.34</v>
      </c>
      <c r="G217">
        <v>1</v>
      </c>
      <c r="H217">
        <f t="shared" si="6"/>
        <v>1</v>
      </c>
    </row>
    <row r="218" spans="1:8" x14ac:dyDescent="0.3">
      <c r="A218">
        <v>25</v>
      </c>
      <c r="B218">
        <v>5</v>
      </c>
      <c r="C218" t="s">
        <v>5</v>
      </c>
      <c r="D218">
        <v>6.02</v>
      </c>
      <c r="E218">
        <v>100</v>
      </c>
      <c r="F218">
        <v>6.02</v>
      </c>
      <c r="G218">
        <v>0</v>
      </c>
      <c r="H218">
        <f t="shared" si="6"/>
        <v>1</v>
      </c>
    </row>
    <row r="219" spans="1:8" x14ac:dyDescent="0.3">
      <c r="A219">
        <v>35</v>
      </c>
      <c r="B219">
        <v>5</v>
      </c>
      <c r="C219" t="s">
        <v>5</v>
      </c>
      <c r="D219">
        <v>4.7</v>
      </c>
      <c r="E219">
        <v>97.6</v>
      </c>
      <c r="F219">
        <v>4.7</v>
      </c>
      <c r="G219">
        <v>0</v>
      </c>
      <c r="H219">
        <f t="shared" si="6"/>
        <v>1</v>
      </c>
    </row>
    <row r="220" spans="1:8" x14ac:dyDescent="0.3">
      <c r="A220">
        <v>36</v>
      </c>
      <c r="B220">
        <v>5</v>
      </c>
      <c r="C220" t="s">
        <v>5</v>
      </c>
      <c r="D220">
        <v>6.53</v>
      </c>
      <c r="E220">
        <v>100</v>
      </c>
      <c r="F220">
        <v>6.53</v>
      </c>
      <c r="G220">
        <v>0</v>
      </c>
      <c r="H220">
        <f t="shared" si="6"/>
        <v>1</v>
      </c>
    </row>
    <row r="221" spans="1:8" x14ac:dyDescent="0.3">
      <c r="A221">
        <v>37</v>
      </c>
      <c r="B221">
        <v>5</v>
      </c>
      <c r="C221" t="s">
        <v>5</v>
      </c>
      <c r="D221">
        <v>5.79</v>
      </c>
      <c r="E221">
        <v>100</v>
      </c>
      <c r="F221">
        <v>5.79</v>
      </c>
      <c r="G221">
        <v>0</v>
      </c>
      <c r="H221">
        <f t="shared" si="6"/>
        <v>1</v>
      </c>
    </row>
  </sheetData>
  <autoFilter ref="A1:G221" xr:uid="{AD81E127-B4C7-4E17-B665-504999F13628}">
    <sortState xmlns:xlrd2="http://schemas.microsoft.com/office/spreadsheetml/2017/richdata2" ref="A2:G221">
      <sortCondition ref="B2:B221"/>
      <sortCondition ref="C2:C221"/>
    </sortState>
  </autoFilter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Munkalapok</vt:lpstr>
      </vt:variant>
      <vt:variant>
        <vt:i4>1</vt:i4>
      </vt:variant>
      <vt:variant>
        <vt:lpstr>Diagramok</vt:lpstr>
      </vt:variant>
      <vt:variant>
        <vt:i4>8</vt:i4>
      </vt:variant>
    </vt:vector>
  </HeadingPairs>
  <TitlesOfParts>
    <vt:vector size="9" baseType="lpstr">
      <vt:lpstr>tests</vt:lpstr>
      <vt:lpstr>allBugCount</vt:lpstr>
      <vt:lpstr>1 bug</vt:lpstr>
      <vt:lpstr>2 bug</vt:lpstr>
      <vt:lpstr>3 bug</vt:lpstr>
      <vt:lpstr>4 bug</vt:lpstr>
      <vt:lpstr>5 bug</vt:lpstr>
      <vt:lpstr>Átlagos patch accuracy bugcount</vt:lpstr>
      <vt:lpstr>avg new bugs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Bálint Schäffer</dc:creator>
  <cp:lastModifiedBy>Budaházy Béla</cp:lastModifiedBy>
  <cp:lastPrinted>2025-11-15T17:27:32Z</cp:lastPrinted>
  <dcterms:created xsi:type="dcterms:W3CDTF">2025-10-21T16:11:33Z</dcterms:created>
  <dcterms:modified xsi:type="dcterms:W3CDTF">2025-11-15T17:27:36Z</dcterms:modified>
</cp:coreProperties>
</file>